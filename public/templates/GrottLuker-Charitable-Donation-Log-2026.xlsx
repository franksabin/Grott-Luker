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2">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726D63"/>
      <sz val="8"/>
    </font>
    <font>
      <name val="Arial"/>
      <color rgb="00A5533C"/>
      <sz val="9"/>
    </font>
    <font>
      <name val="Georgia"/>
      <b val="1"/>
      <color rgb="000F2440"/>
      <sz val="11"/>
    </font>
    <font>
      <name val="Georgia"/>
      <b val="1"/>
      <color rgb="000F2440"/>
      <sz val="18"/>
    </font>
    <font>
      <name val="Arial"/>
      <color rgb="00726D63"/>
      <sz val="8"/>
    </font>
    <font>
      <name val="Arial"/>
      <b val="1"/>
      <color rgb="0026262B"/>
      <sz val="10"/>
    </font>
  </fonts>
  <fills count="5">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s>
  <borders count="7">
    <border>
      <left/>
      <right/>
      <top/>
      <bottom/>
      <diagonal/>
    </border>
    <border>
      <bottom style="medium">
        <color rgb="00C4A054"/>
      </bottom>
    </border>
    <border>
      <bottom style="thin">
        <color rgb="000F2440"/>
      </bottom>
    </border>
    <border>
      <bottom style="thin">
        <color rgb="00E6E0D2"/>
      </bottom>
    </border>
    <border>
      <top style="thin">
        <color rgb="000F2440"/>
      </top>
    </border>
    <border>
      <left style="medium">
        <color rgb="00C4A054"/>
      </left>
    </border>
    <border>
      <left style="medium">
        <color rgb="00C4A054"/>
      </left>
      <right/>
      <bottom/>
    </border>
  </borders>
  <cellStyleXfs count="1">
    <xf numFmtId="0" fontId="0" fillId="0" borderId="0"/>
  </cellStyleXfs>
  <cellXfs count="41">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inden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6" fillId="0" borderId="2" applyAlignment="1" pivotButton="0" quotePrefix="0" xfId="0">
      <alignment horizontal="left" vertical="bottom" indent="1"/>
    </xf>
    <xf numFmtId="0" fontId="6" fillId="0" borderId="2" applyAlignment="1" pivotButton="0" quotePrefix="0" xfId="0">
      <alignment horizontal="left" vertical="bottom"/>
    </xf>
    <xf numFmtId="0" fontId="6" fillId="0" borderId="2" applyAlignment="1" pivotButton="0" quotePrefix="0" xfId="0">
      <alignment horizontal="right" vertical="bottom"/>
    </xf>
    <xf numFmtId="0" fontId="6" fillId="0" borderId="2" applyAlignment="1" pivotButton="0" quotePrefix="0" xfId="0">
      <alignment horizontal="center" vertical="bottom"/>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165" fontId="4" fillId="4" borderId="3" applyAlignment="1" pivotButton="0" quotePrefix="0" xfId="0">
      <alignment horizontal="right" vertical="center"/>
    </xf>
    <xf numFmtId="0" fontId="4" fillId="4" borderId="3" applyAlignment="1" pivotButton="0" quotePrefix="0" xfId="0">
      <alignment horizontal="center" vertical="center"/>
    </xf>
    <xf numFmtId="165" fontId="4" fillId="0" borderId="3" applyAlignment="1" pivotButton="0" quotePrefix="0" xfId="0">
      <alignment horizontal="right" vertical="center"/>
    </xf>
    <xf numFmtId="0" fontId="7" fillId="0" borderId="3" applyAlignment="1" pivotButton="0" quotePrefix="0" xfId="0">
      <alignment horizontal="left" vertical="center" indent="1"/>
    </xf>
    <xf numFmtId="0" fontId="0" fillId="0" borderId="4" pivotButton="0" quotePrefix="0" xfId="0"/>
    <xf numFmtId="0" fontId="8" fillId="0" borderId="4" applyAlignment="1" pivotButton="0" quotePrefix="0" xfId="0">
      <alignment horizontal="right" vertical="center"/>
    </xf>
    <xf numFmtId="165" fontId="8" fillId="0" borderId="4" applyAlignment="1" pivotButton="0" quotePrefix="0" xfId="0">
      <alignment horizontal="right" vertical="center"/>
    </xf>
    <xf numFmtId="0" fontId="6" fillId="3" borderId="0" applyAlignment="1" pivotButton="0" quotePrefix="0" xfId="0">
      <alignment horizontal="center" vertical="bottom"/>
    </xf>
    <xf numFmtId="166" fontId="9" fillId="3" borderId="0" applyAlignment="1" pivotButton="0" quotePrefix="0" xfId="0">
      <alignment horizontal="center" vertical="center"/>
    </xf>
    <xf numFmtId="167" fontId="9" fillId="3" borderId="0" applyAlignment="1" pivotButton="0" quotePrefix="0" xfId="0">
      <alignment horizontal="center" vertical="center"/>
    </xf>
    <xf numFmtId="0" fontId="10" fillId="3" borderId="0" applyAlignment="1" pivotButton="0" quotePrefix="0" xfId="0">
      <alignment horizontal="center" vertical="top"/>
    </xf>
    <xf numFmtId="0" fontId="4" fillId="0" borderId="3" applyAlignment="1" pivotButton="0" quotePrefix="0" xfId="0">
      <alignment vertical="center" indent="1"/>
    </xf>
    <xf numFmtId="167" fontId="4" fillId="0" borderId="3" applyAlignment="1" pivotButton="0" quotePrefix="0" xfId="0">
      <alignment horizontal="right" vertical="center"/>
    </xf>
    <xf numFmtId="0" fontId="8" fillId="0" borderId="4" applyAlignment="1" pivotButton="0" quotePrefix="0" xfId="0">
      <alignment horizontal="left" vertical="center" indent="1"/>
    </xf>
    <xf numFmtId="167" fontId="8" fillId="0" borderId="4" applyAlignment="1" pivotButton="0" quotePrefix="0" xfId="0">
      <alignment horizontal="right" vertical="center"/>
    </xf>
    <xf numFmtId="0" fontId="0" fillId="0" borderId="3" pivotButton="0" quotePrefix="0" xfId="0"/>
    <xf numFmtId="167" fontId="11" fillId="0" borderId="3" applyAlignment="1" pivotButton="0" quotePrefix="0" xfId="0">
      <alignment horizontal="right" vertical="center"/>
    </xf>
    <xf numFmtId="165" fontId="11" fillId="0" borderId="3" applyAlignment="1" pivotButton="0" quotePrefix="0" xfId="0">
      <alignment horizontal="right" vertical="center"/>
    </xf>
    <xf numFmtId="0" fontId="11" fillId="0" borderId="3" applyAlignment="1" pivotButton="0" quotePrefix="0" xfId="0">
      <alignment horizontal="right" vertical="center"/>
    </xf>
    <xf numFmtId="0" fontId="11" fillId="3" borderId="5" applyAlignment="1" pivotButton="0" quotePrefix="0" xfId="0">
      <alignment vertical="center" indent="1"/>
    </xf>
    <xf numFmtId="0" fontId="0" fillId="3" borderId="0" pivotButton="0" quotePrefix="0" xfId="0"/>
    <xf numFmtId="0" fontId="4" fillId="3" borderId="6" applyAlignment="1" pivotButton="0" quotePrefix="0" xfId="0">
      <alignmen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A24"/>
  <sheetViews>
    <sheetView showGridLines="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t>
        </is>
      </c>
    </row>
    <row r="4" ht="10" customHeight="1"/>
    <row r="5" ht="24" customHeight="1">
      <c r="A5" s="4" t="inlineStr">
        <is>
          <t>Two sheets, kept through the year</t>
        </is>
      </c>
    </row>
    <row r="6" ht="30" customHeight="1">
      <c r="A6" s="5" t="inlineStr">
        <is>
          <t>Gifts — one row per gift: date, organization, what it was, type (Cash, Non-cash, or Securities), and the amount or fair market value. For securities add the cost basis and whether you held them more than a year.</t>
        </is>
      </c>
    </row>
    <row r="7" ht="16" customHeight="1">
      <c r="A7" s="5" t="inlineStr">
        <is>
          <t>Summary — totals by type and the documentation checklist, ready to send.</t>
        </is>
      </c>
    </row>
    <row r="8" ht="16" customHeight="1">
      <c r="A8" s="5" t="inlineStr"/>
    </row>
    <row r="9" ht="24" customHeight="1">
      <c r="A9" s="4" t="inlineStr">
        <is>
          <t>Documentation rules</t>
        </is>
      </c>
    </row>
    <row r="10" ht="30" customHeight="1">
      <c r="A10" s="5" t="inlineStr">
        <is>
          <t>Any single gift of $250 or more needs a written acknowledgment from the charity before you file. Mark the Receipt column Y once you have it.</t>
        </is>
      </c>
    </row>
    <row r="11" ht="16" customHeight="1">
      <c r="A11" s="5" t="inlineStr">
        <is>
          <t>Non-cash gifts over $500 in total require Form 8283 with the return.</t>
        </is>
      </c>
    </row>
    <row r="12" ht="30" customHeight="1">
      <c r="A12" s="5" t="inlineStr">
        <is>
          <t>Any non-cash item, or group of similar items, over $5,000 needs a qualified appraisal. Publicly traded securities are the exception.</t>
        </is>
      </c>
    </row>
    <row r="13" ht="30" customHeight="1">
      <c r="A13" s="5" t="inlineStr">
        <is>
          <t>Appreciated securities held more than a year are deductible at fair market value and the gain is never taxed. Held a year or less, the deduction is limited to cost basis.</t>
        </is>
      </c>
    </row>
    <row r="14" ht="30" customHeight="1">
      <c r="A14" s="5" t="inlineStr">
        <is>
          <t>Qualified charitable distributions from an IRA (70½ and older) are excluded from income instead of deducted. Log them with a note so your CPA sees them.</t>
        </is>
      </c>
    </row>
    <row r="15" ht="16" customHeight="1">
      <c r="A15" s="5" t="inlineStr"/>
    </row>
    <row r="16" ht="24" customHeight="1">
      <c r="A16" s="4" t="inlineStr">
        <is>
          <t>When you are done</t>
        </is>
      </c>
    </row>
    <row r="17" ht="30" customHeight="1">
      <c r="A17" s="5" t="inlineStr">
        <is>
          <t>In January, email this file to your Grott Luker CPA with your receipt letters, or enter the gifts in the online log at the link we sent you.</t>
        </is>
      </c>
    </row>
    <row r="18" ht="16" customHeight="1">
      <c r="A18" s="6" t="inlineStr">
        <is>
          <t>Light-yellow cells are yours. Everything else calculates itself.</t>
        </is>
      </c>
    </row>
    <row r="20" ht="15" customHeight="1">
      <c r="A20" s="7" t="inlineStr">
        <is>
          <t>Grott Luker &amp; Co.</t>
        </is>
      </c>
    </row>
    <row r="21" ht="15" customHeight="1">
      <c r="A21" s="8" t="inlineStr">
        <is>
          <t>Certified Public Accountants · Portsmouth, New Hampshire · Accounting | Tax Planning | Advisory</t>
        </is>
      </c>
    </row>
    <row r="22" ht="15" customHeight="1">
      <c r="A22" s="8" t="inlineStr">
        <is>
          <t>Questions about this workbook go to your Grott Luker CPA.</t>
        </is>
      </c>
    </row>
    <row r="23" ht="15" customHeight="1">
      <c r="A23" s="8" t="inlineStr"/>
    </row>
    <row r="24" ht="30" customHeight="1">
      <c r="A24"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5">
    <mergeCell ref="A22"/>
    <mergeCell ref="A21"/>
    <mergeCell ref="A20"/>
    <mergeCell ref="A24"/>
    <mergeCell ref="A23"/>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159"/>
  <sheetViews>
    <sheetView showGridLines="0" workbookViewId="0">
      <pane ySplit="6" topLeftCell="A7" activePane="bottomLeft" state="frozen"/>
      <selection pane="bottomLeft" activeCell="A1" sqref="A1"/>
    </sheetView>
  </sheetViews>
  <sheetFormatPr baseColWidth="8" defaultRowHeight="15"/>
  <cols>
    <col width="13" customWidth="1" min="1" max="1"/>
    <col width="28" customWidth="1" min="2" max="2"/>
    <col width="28" customWidth="1" min="3" max="3"/>
    <col width="13" customWidth="1" min="4" max="4"/>
    <col width="14" customWidth="1" min="5" max="5"/>
    <col width="15" customWidth="1" min="6" max="6"/>
    <col width="11" customWidth="1" min="7" max="7"/>
    <col width="11" customWidth="1" min="8" max="8"/>
    <col width="14" customWidth="1" min="9" max="9"/>
    <col width="40"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 log</t>
        </is>
      </c>
    </row>
    <row r="3" ht="14" customHeight="1">
      <c r="A3" s="1" t="n"/>
      <c r="B3" s="1" t="n"/>
      <c r="C3" s="1" t="n"/>
      <c r="D3" s="1" t="n"/>
      <c r="E3" s="1" t="n"/>
      <c r="F3" s="1" t="n"/>
      <c r="G3" s="1" t="n"/>
      <c r="H3" s="1" t="n"/>
      <c r="I3" s="1" t="n"/>
      <c r="J3" s="3" t="inlineStr">
        <is>
          <t>Tax year 2026</t>
        </is>
      </c>
    </row>
    <row r="4" ht="10" customHeight="1"/>
    <row r="5" ht="24" customHeight="1">
      <c r="A5" s="10" t="inlineStr">
        <is>
          <t>Gifts</t>
        </is>
      </c>
      <c r="B5" s="11" t="n"/>
      <c r="C5" s="11" t="n"/>
      <c r="D5" s="11" t="n"/>
      <c r="E5" s="11" t="n"/>
      <c r="F5" s="11" t="n"/>
      <c r="G5" s="11" t="n"/>
      <c r="H5" s="11" t="n"/>
      <c r="I5" s="11" t="n"/>
      <c r="J5" s="12" t="inlineStr">
        <is>
          <t>deductible amount and flags fill in from the type, amount, basis, and holding period</t>
        </is>
      </c>
    </row>
    <row r="6" ht="18" customHeight="1">
      <c r="A6" s="13" t="inlineStr">
        <is>
          <t>DATE</t>
        </is>
      </c>
      <c r="B6" s="14" t="inlineStr">
        <is>
          <t>ORGANIZATION</t>
        </is>
      </c>
      <c r="C6" s="14" t="inlineStr">
        <is>
          <t>DESCRIPTION</t>
        </is>
      </c>
      <c r="D6" s="14" t="inlineStr">
        <is>
          <t>TYPE</t>
        </is>
      </c>
      <c r="E6" s="15" t="inlineStr">
        <is>
          <t>AMOUNT / FMV</t>
        </is>
      </c>
      <c r="F6" s="15" t="inlineStr">
        <is>
          <t>COST BASIS</t>
        </is>
      </c>
      <c r="G6" s="16" t="inlineStr">
        <is>
          <t>HELD &gt; 1 YR</t>
        </is>
      </c>
      <c r="H6" s="16" t="inlineStr">
        <is>
          <t>RECEIPT LETTER</t>
        </is>
      </c>
      <c r="I6" s="15" t="inlineStr">
        <is>
          <t>DEDUCTIBLE</t>
        </is>
      </c>
      <c r="J6" s="14" t="inlineStr">
        <is>
          <t>FLAGS</t>
        </is>
      </c>
    </row>
    <row r="7" ht="17" customHeight="1">
      <c r="A7" s="17" t="n"/>
      <c r="B7" s="18" t="n"/>
      <c r="C7" s="18" t="n"/>
      <c r="D7" s="18" t="n"/>
      <c r="E7" s="19" t="n"/>
      <c r="F7" s="19" t="n"/>
      <c r="G7" s="20" t="n"/>
      <c r="H7" s="20" t="n"/>
      <c r="I7" s="21">
        <f>IF(OR(D7="",E7=""),"",IF(D7="Securities",IF(G7="N",MIN(E7,IF(F7="",E7,F7)),E7),E7))</f>
        <v/>
      </c>
      <c r="J7" s="22">
        <f>IF(E7="","",TRIM(IF(AND(E7&gt;=250,H7&lt;&gt;"Y"),"Receipt letter needed. ","")&amp;IF(AND(D7&lt;&gt;"Cash",E7&gt;5000),"Appraisal likely. ","")&amp;IF(AND(D7="Securities",G7="N"),"Short-term: limited to basis. ","")))</f>
        <v/>
      </c>
    </row>
    <row r="8" ht="17" customHeight="1">
      <c r="A8" s="17" t="n"/>
      <c r="B8" s="18" t="n"/>
      <c r="C8" s="18" t="n"/>
      <c r="D8" s="18" t="n"/>
      <c r="E8" s="19" t="n"/>
      <c r="F8" s="19" t="n"/>
      <c r="G8" s="20" t="n"/>
      <c r="H8" s="20" t="n"/>
      <c r="I8" s="21">
        <f>IF(OR(D8="",E8=""),"",IF(D8="Securities",IF(G8="N",MIN(E8,IF(F8="",E8,F8)),E8),E8))</f>
        <v/>
      </c>
      <c r="J8" s="22">
        <f>IF(E8="","",TRIM(IF(AND(E8&gt;=250,H8&lt;&gt;"Y"),"Receipt letter needed. ","")&amp;IF(AND(D8&lt;&gt;"Cash",E8&gt;5000),"Appraisal likely. ","")&amp;IF(AND(D8="Securities",G8="N"),"Short-term: limited to basis. ","")))</f>
        <v/>
      </c>
    </row>
    <row r="9" ht="17" customHeight="1">
      <c r="A9" s="17" t="n"/>
      <c r="B9" s="18" t="n"/>
      <c r="C9" s="18" t="n"/>
      <c r="D9" s="18" t="n"/>
      <c r="E9" s="19" t="n"/>
      <c r="F9" s="19" t="n"/>
      <c r="G9" s="20" t="n"/>
      <c r="H9" s="20" t="n"/>
      <c r="I9" s="21">
        <f>IF(OR(D9="",E9=""),"",IF(D9="Securities",IF(G9="N",MIN(E9,IF(F9="",E9,F9)),E9),E9))</f>
        <v/>
      </c>
      <c r="J9" s="22">
        <f>IF(E9="","",TRIM(IF(AND(E9&gt;=250,H9&lt;&gt;"Y"),"Receipt letter needed. ","")&amp;IF(AND(D9&lt;&gt;"Cash",E9&gt;5000),"Appraisal likely. ","")&amp;IF(AND(D9="Securities",G9="N"),"Short-term: limited to basis. ","")))</f>
        <v/>
      </c>
    </row>
    <row r="10" ht="17" customHeight="1">
      <c r="A10" s="17" t="n"/>
      <c r="B10" s="18" t="n"/>
      <c r="C10" s="18" t="n"/>
      <c r="D10" s="18" t="n"/>
      <c r="E10" s="19" t="n"/>
      <c r="F10" s="19" t="n"/>
      <c r="G10" s="20" t="n"/>
      <c r="H10" s="20" t="n"/>
      <c r="I10" s="21">
        <f>IF(OR(D10="",E10=""),"",IF(D10="Securities",IF(G10="N",MIN(E10,IF(F10="",E10,F10)),E10),E10))</f>
        <v/>
      </c>
      <c r="J10" s="22">
        <f>IF(E10="","",TRIM(IF(AND(E10&gt;=250,H10&lt;&gt;"Y"),"Receipt letter needed. ","")&amp;IF(AND(D10&lt;&gt;"Cash",E10&gt;5000),"Appraisal likely. ","")&amp;IF(AND(D10="Securities",G10="N"),"Short-term: limited to basis. ","")))</f>
        <v/>
      </c>
    </row>
    <row r="11" ht="17" customHeight="1">
      <c r="A11" s="17" t="n"/>
      <c r="B11" s="18" t="n"/>
      <c r="C11" s="18" t="n"/>
      <c r="D11" s="18" t="n"/>
      <c r="E11" s="19" t="n"/>
      <c r="F11" s="19" t="n"/>
      <c r="G11" s="20" t="n"/>
      <c r="H11" s="20" t="n"/>
      <c r="I11" s="21">
        <f>IF(OR(D11="",E11=""),"",IF(D11="Securities",IF(G11="N",MIN(E11,IF(F11="",E11,F11)),E11),E11))</f>
        <v/>
      </c>
      <c r="J11" s="22">
        <f>IF(E11="","",TRIM(IF(AND(E11&gt;=250,H11&lt;&gt;"Y"),"Receipt letter needed. ","")&amp;IF(AND(D11&lt;&gt;"Cash",E11&gt;5000),"Appraisal likely. ","")&amp;IF(AND(D11="Securities",G11="N"),"Short-term: limited to basis. ","")))</f>
        <v/>
      </c>
    </row>
    <row r="12" ht="17" customHeight="1">
      <c r="A12" s="17" t="n"/>
      <c r="B12" s="18" t="n"/>
      <c r="C12" s="18" t="n"/>
      <c r="D12" s="18" t="n"/>
      <c r="E12" s="19" t="n"/>
      <c r="F12" s="19" t="n"/>
      <c r="G12" s="20" t="n"/>
      <c r="H12" s="20" t="n"/>
      <c r="I12" s="21">
        <f>IF(OR(D12="",E12=""),"",IF(D12="Securities",IF(G12="N",MIN(E12,IF(F12="",E12,F12)),E12),E12))</f>
        <v/>
      </c>
      <c r="J12" s="22">
        <f>IF(E12="","",TRIM(IF(AND(E12&gt;=250,H12&lt;&gt;"Y"),"Receipt letter needed. ","")&amp;IF(AND(D12&lt;&gt;"Cash",E12&gt;5000),"Appraisal likely. ","")&amp;IF(AND(D12="Securities",G12="N"),"Short-term: limited to basis. ","")))</f>
        <v/>
      </c>
    </row>
    <row r="13" ht="17" customHeight="1">
      <c r="A13" s="17" t="n"/>
      <c r="B13" s="18" t="n"/>
      <c r="C13" s="18" t="n"/>
      <c r="D13" s="18" t="n"/>
      <c r="E13" s="19" t="n"/>
      <c r="F13" s="19" t="n"/>
      <c r="G13" s="20" t="n"/>
      <c r="H13" s="20" t="n"/>
      <c r="I13" s="21">
        <f>IF(OR(D13="",E13=""),"",IF(D13="Securities",IF(G13="N",MIN(E13,IF(F13="",E13,F13)),E13),E13))</f>
        <v/>
      </c>
      <c r="J13" s="22">
        <f>IF(E13="","",TRIM(IF(AND(E13&gt;=250,H13&lt;&gt;"Y"),"Receipt letter needed. ","")&amp;IF(AND(D13&lt;&gt;"Cash",E13&gt;5000),"Appraisal likely. ","")&amp;IF(AND(D13="Securities",G13="N"),"Short-term: limited to basis. ","")))</f>
        <v/>
      </c>
    </row>
    <row r="14" ht="17" customHeight="1">
      <c r="A14" s="17" t="n"/>
      <c r="B14" s="18" t="n"/>
      <c r="C14" s="18" t="n"/>
      <c r="D14" s="18" t="n"/>
      <c r="E14" s="19" t="n"/>
      <c r="F14" s="19" t="n"/>
      <c r="G14" s="20" t="n"/>
      <c r="H14" s="20" t="n"/>
      <c r="I14" s="21">
        <f>IF(OR(D14="",E14=""),"",IF(D14="Securities",IF(G14="N",MIN(E14,IF(F14="",E14,F14)),E14),E14))</f>
        <v/>
      </c>
      <c r="J14" s="22">
        <f>IF(E14="","",TRIM(IF(AND(E14&gt;=250,H14&lt;&gt;"Y"),"Receipt letter needed. ","")&amp;IF(AND(D14&lt;&gt;"Cash",E14&gt;5000),"Appraisal likely. ","")&amp;IF(AND(D14="Securities",G14="N"),"Short-term: limited to basis. ","")))</f>
        <v/>
      </c>
    </row>
    <row r="15" ht="17" customHeight="1">
      <c r="A15" s="17" t="n"/>
      <c r="B15" s="18" t="n"/>
      <c r="C15" s="18" t="n"/>
      <c r="D15" s="18" t="n"/>
      <c r="E15" s="19" t="n"/>
      <c r="F15" s="19" t="n"/>
      <c r="G15" s="20" t="n"/>
      <c r="H15" s="20" t="n"/>
      <c r="I15" s="21">
        <f>IF(OR(D15="",E15=""),"",IF(D15="Securities",IF(G15="N",MIN(E15,IF(F15="",E15,F15)),E15),E15))</f>
        <v/>
      </c>
      <c r="J15" s="22">
        <f>IF(E15="","",TRIM(IF(AND(E15&gt;=250,H15&lt;&gt;"Y"),"Receipt letter needed. ","")&amp;IF(AND(D15&lt;&gt;"Cash",E15&gt;5000),"Appraisal likely. ","")&amp;IF(AND(D15="Securities",G15="N"),"Short-term: limited to basis. ","")))</f>
        <v/>
      </c>
    </row>
    <row r="16" ht="17" customHeight="1">
      <c r="A16" s="17" t="n"/>
      <c r="B16" s="18" t="n"/>
      <c r="C16" s="18" t="n"/>
      <c r="D16" s="18" t="n"/>
      <c r="E16" s="19" t="n"/>
      <c r="F16" s="19" t="n"/>
      <c r="G16" s="20" t="n"/>
      <c r="H16" s="20" t="n"/>
      <c r="I16" s="21">
        <f>IF(OR(D16="",E16=""),"",IF(D16="Securities",IF(G16="N",MIN(E16,IF(F16="",E16,F16)),E16),E16))</f>
        <v/>
      </c>
      <c r="J16" s="22">
        <f>IF(E16="","",TRIM(IF(AND(E16&gt;=250,H16&lt;&gt;"Y"),"Receipt letter needed. ","")&amp;IF(AND(D16&lt;&gt;"Cash",E16&gt;5000),"Appraisal likely. ","")&amp;IF(AND(D16="Securities",G16="N"),"Short-term: limited to basis. ","")))</f>
        <v/>
      </c>
    </row>
    <row r="17" ht="17" customHeight="1">
      <c r="A17" s="17" t="n"/>
      <c r="B17" s="18" t="n"/>
      <c r="C17" s="18" t="n"/>
      <c r="D17" s="18" t="n"/>
      <c r="E17" s="19" t="n"/>
      <c r="F17" s="19" t="n"/>
      <c r="G17" s="20" t="n"/>
      <c r="H17" s="20" t="n"/>
      <c r="I17" s="21">
        <f>IF(OR(D17="",E17=""),"",IF(D17="Securities",IF(G17="N",MIN(E17,IF(F17="",E17,F17)),E17),E17))</f>
        <v/>
      </c>
      <c r="J17" s="22">
        <f>IF(E17="","",TRIM(IF(AND(E17&gt;=250,H17&lt;&gt;"Y"),"Receipt letter needed. ","")&amp;IF(AND(D17&lt;&gt;"Cash",E17&gt;5000),"Appraisal likely. ","")&amp;IF(AND(D17="Securities",G17="N"),"Short-term: limited to basis. ","")))</f>
        <v/>
      </c>
    </row>
    <row r="18" ht="17" customHeight="1">
      <c r="A18" s="17" t="n"/>
      <c r="B18" s="18" t="n"/>
      <c r="C18" s="18" t="n"/>
      <c r="D18" s="18" t="n"/>
      <c r="E18" s="19" t="n"/>
      <c r="F18" s="19" t="n"/>
      <c r="G18" s="20" t="n"/>
      <c r="H18" s="20" t="n"/>
      <c r="I18" s="21">
        <f>IF(OR(D18="",E18=""),"",IF(D18="Securities",IF(G18="N",MIN(E18,IF(F18="",E18,F18)),E18),E18))</f>
        <v/>
      </c>
      <c r="J18" s="22">
        <f>IF(E18="","",TRIM(IF(AND(E18&gt;=250,H18&lt;&gt;"Y"),"Receipt letter needed. ","")&amp;IF(AND(D18&lt;&gt;"Cash",E18&gt;5000),"Appraisal likely. ","")&amp;IF(AND(D18="Securities",G18="N"),"Short-term: limited to basis. ","")))</f>
        <v/>
      </c>
    </row>
    <row r="19" ht="17" customHeight="1">
      <c r="A19" s="17" t="n"/>
      <c r="B19" s="18" t="n"/>
      <c r="C19" s="18" t="n"/>
      <c r="D19" s="18" t="n"/>
      <c r="E19" s="19" t="n"/>
      <c r="F19" s="19" t="n"/>
      <c r="G19" s="20" t="n"/>
      <c r="H19" s="20" t="n"/>
      <c r="I19" s="21">
        <f>IF(OR(D19="",E19=""),"",IF(D19="Securities",IF(G19="N",MIN(E19,IF(F19="",E19,F19)),E19),E19))</f>
        <v/>
      </c>
      <c r="J19" s="22">
        <f>IF(E19="","",TRIM(IF(AND(E19&gt;=250,H19&lt;&gt;"Y"),"Receipt letter needed. ","")&amp;IF(AND(D19&lt;&gt;"Cash",E19&gt;5000),"Appraisal likely. ","")&amp;IF(AND(D19="Securities",G19="N"),"Short-term: limited to basis. ","")))</f>
        <v/>
      </c>
    </row>
    <row r="20" ht="17" customHeight="1">
      <c r="A20" s="17" t="n"/>
      <c r="B20" s="18" t="n"/>
      <c r="C20" s="18" t="n"/>
      <c r="D20" s="18" t="n"/>
      <c r="E20" s="19" t="n"/>
      <c r="F20" s="19" t="n"/>
      <c r="G20" s="20" t="n"/>
      <c r="H20" s="20" t="n"/>
      <c r="I20" s="21">
        <f>IF(OR(D20="",E20=""),"",IF(D20="Securities",IF(G20="N",MIN(E20,IF(F20="",E20,F20)),E20),E20))</f>
        <v/>
      </c>
      <c r="J20" s="22">
        <f>IF(E20="","",TRIM(IF(AND(E20&gt;=250,H20&lt;&gt;"Y"),"Receipt letter needed. ","")&amp;IF(AND(D20&lt;&gt;"Cash",E20&gt;5000),"Appraisal likely. ","")&amp;IF(AND(D20="Securities",G20="N"),"Short-term: limited to basis. ","")))</f>
        <v/>
      </c>
    </row>
    <row r="21" ht="17" customHeight="1">
      <c r="A21" s="17" t="n"/>
      <c r="B21" s="18" t="n"/>
      <c r="C21" s="18" t="n"/>
      <c r="D21" s="18" t="n"/>
      <c r="E21" s="19" t="n"/>
      <c r="F21" s="19" t="n"/>
      <c r="G21" s="20" t="n"/>
      <c r="H21" s="20" t="n"/>
      <c r="I21" s="21">
        <f>IF(OR(D21="",E21=""),"",IF(D21="Securities",IF(G21="N",MIN(E21,IF(F21="",E21,F21)),E21),E21))</f>
        <v/>
      </c>
      <c r="J21" s="22">
        <f>IF(E21="","",TRIM(IF(AND(E21&gt;=250,H21&lt;&gt;"Y"),"Receipt letter needed. ","")&amp;IF(AND(D21&lt;&gt;"Cash",E21&gt;5000),"Appraisal likely. ","")&amp;IF(AND(D21="Securities",G21="N"),"Short-term: limited to basis. ","")))</f>
        <v/>
      </c>
    </row>
    <row r="22" ht="17" customHeight="1">
      <c r="A22" s="17" t="n"/>
      <c r="B22" s="18" t="n"/>
      <c r="C22" s="18" t="n"/>
      <c r="D22" s="18" t="n"/>
      <c r="E22" s="19" t="n"/>
      <c r="F22" s="19" t="n"/>
      <c r="G22" s="20" t="n"/>
      <c r="H22" s="20" t="n"/>
      <c r="I22" s="21">
        <f>IF(OR(D22="",E22=""),"",IF(D22="Securities",IF(G22="N",MIN(E22,IF(F22="",E22,F22)),E22),E22))</f>
        <v/>
      </c>
      <c r="J22" s="22">
        <f>IF(E22="","",TRIM(IF(AND(E22&gt;=250,H22&lt;&gt;"Y"),"Receipt letter needed. ","")&amp;IF(AND(D22&lt;&gt;"Cash",E22&gt;5000),"Appraisal likely. ","")&amp;IF(AND(D22="Securities",G22="N"),"Short-term: limited to basis. ","")))</f>
        <v/>
      </c>
    </row>
    <row r="23" ht="17" customHeight="1">
      <c r="A23" s="17" t="n"/>
      <c r="B23" s="18" t="n"/>
      <c r="C23" s="18" t="n"/>
      <c r="D23" s="18" t="n"/>
      <c r="E23" s="19" t="n"/>
      <c r="F23" s="19" t="n"/>
      <c r="G23" s="20" t="n"/>
      <c r="H23" s="20" t="n"/>
      <c r="I23" s="21">
        <f>IF(OR(D23="",E23=""),"",IF(D23="Securities",IF(G23="N",MIN(E23,IF(F23="",E23,F23)),E23),E23))</f>
        <v/>
      </c>
      <c r="J23" s="22">
        <f>IF(E23="","",TRIM(IF(AND(E23&gt;=250,H23&lt;&gt;"Y"),"Receipt letter needed. ","")&amp;IF(AND(D23&lt;&gt;"Cash",E23&gt;5000),"Appraisal likely. ","")&amp;IF(AND(D23="Securities",G23="N"),"Short-term: limited to basis. ","")))</f>
        <v/>
      </c>
    </row>
    <row r="24" ht="17" customHeight="1">
      <c r="A24" s="17" t="n"/>
      <c r="B24" s="18" t="n"/>
      <c r="C24" s="18" t="n"/>
      <c r="D24" s="18" t="n"/>
      <c r="E24" s="19" t="n"/>
      <c r="F24" s="19" t="n"/>
      <c r="G24" s="20" t="n"/>
      <c r="H24" s="20" t="n"/>
      <c r="I24" s="21">
        <f>IF(OR(D24="",E24=""),"",IF(D24="Securities",IF(G24="N",MIN(E24,IF(F24="",E24,F24)),E24),E24))</f>
        <v/>
      </c>
      <c r="J24" s="22">
        <f>IF(E24="","",TRIM(IF(AND(E24&gt;=250,H24&lt;&gt;"Y"),"Receipt letter needed. ","")&amp;IF(AND(D24&lt;&gt;"Cash",E24&gt;5000),"Appraisal likely. ","")&amp;IF(AND(D24="Securities",G24="N"),"Short-term: limited to basis. ","")))</f>
        <v/>
      </c>
    </row>
    <row r="25" ht="17" customHeight="1">
      <c r="A25" s="17" t="n"/>
      <c r="B25" s="18" t="n"/>
      <c r="C25" s="18" t="n"/>
      <c r="D25" s="18" t="n"/>
      <c r="E25" s="19" t="n"/>
      <c r="F25" s="19" t="n"/>
      <c r="G25" s="20" t="n"/>
      <c r="H25" s="20" t="n"/>
      <c r="I25" s="21">
        <f>IF(OR(D25="",E25=""),"",IF(D25="Securities",IF(G25="N",MIN(E25,IF(F25="",E25,F25)),E25),E25))</f>
        <v/>
      </c>
      <c r="J25" s="22">
        <f>IF(E25="","",TRIM(IF(AND(E25&gt;=250,H25&lt;&gt;"Y"),"Receipt letter needed. ","")&amp;IF(AND(D25&lt;&gt;"Cash",E25&gt;5000),"Appraisal likely. ","")&amp;IF(AND(D25="Securities",G25="N"),"Short-term: limited to basis. ","")))</f>
        <v/>
      </c>
    </row>
    <row r="26" ht="17" customHeight="1">
      <c r="A26" s="17" t="n"/>
      <c r="B26" s="18" t="n"/>
      <c r="C26" s="18" t="n"/>
      <c r="D26" s="18" t="n"/>
      <c r="E26" s="19" t="n"/>
      <c r="F26" s="19" t="n"/>
      <c r="G26" s="20" t="n"/>
      <c r="H26" s="20" t="n"/>
      <c r="I26" s="21">
        <f>IF(OR(D26="",E26=""),"",IF(D26="Securities",IF(G26="N",MIN(E26,IF(F26="",E26,F26)),E26),E26))</f>
        <v/>
      </c>
      <c r="J26" s="22">
        <f>IF(E26="","",TRIM(IF(AND(E26&gt;=250,H26&lt;&gt;"Y"),"Receipt letter needed. ","")&amp;IF(AND(D26&lt;&gt;"Cash",E26&gt;5000),"Appraisal likely. ","")&amp;IF(AND(D26="Securities",G26="N"),"Short-term: limited to basis. ","")))</f>
        <v/>
      </c>
    </row>
    <row r="27" ht="17" customHeight="1">
      <c r="A27" s="17" t="n"/>
      <c r="B27" s="18" t="n"/>
      <c r="C27" s="18" t="n"/>
      <c r="D27" s="18" t="n"/>
      <c r="E27" s="19" t="n"/>
      <c r="F27" s="19" t="n"/>
      <c r="G27" s="20" t="n"/>
      <c r="H27" s="20" t="n"/>
      <c r="I27" s="21">
        <f>IF(OR(D27="",E27=""),"",IF(D27="Securities",IF(G27="N",MIN(E27,IF(F27="",E27,F27)),E27),E27))</f>
        <v/>
      </c>
      <c r="J27" s="22">
        <f>IF(E27="","",TRIM(IF(AND(E27&gt;=250,H27&lt;&gt;"Y"),"Receipt letter needed. ","")&amp;IF(AND(D27&lt;&gt;"Cash",E27&gt;5000),"Appraisal likely. ","")&amp;IF(AND(D27="Securities",G27="N"),"Short-term: limited to basis. ","")))</f>
        <v/>
      </c>
    </row>
    <row r="28" ht="17" customHeight="1">
      <c r="A28" s="17" t="n"/>
      <c r="B28" s="18" t="n"/>
      <c r="C28" s="18" t="n"/>
      <c r="D28" s="18" t="n"/>
      <c r="E28" s="19" t="n"/>
      <c r="F28" s="19" t="n"/>
      <c r="G28" s="20" t="n"/>
      <c r="H28" s="20" t="n"/>
      <c r="I28" s="21">
        <f>IF(OR(D28="",E28=""),"",IF(D28="Securities",IF(G28="N",MIN(E28,IF(F28="",E28,F28)),E28),E28))</f>
        <v/>
      </c>
      <c r="J28" s="22">
        <f>IF(E28="","",TRIM(IF(AND(E28&gt;=250,H28&lt;&gt;"Y"),"Receipt letter needed. ","")&amp;IF(AND(D28&lt;&gt;"Cash",E28&gt;5000),"Appraisal likely. ","")&amp;IF(AND(D28="Securities",G28="N"),"Short-term: limited to basis. ","")))</f>
        <v/>
      </c>
    </row>
    <row r="29" ht="17" customHeight="1">
      <c r="A29" s="17" t="n"/>
      <c r="B29" s="18" t="n"/>
      <c r="C29" s="18" t="n"/>
      <c r="D29" s="18" t="n"/>
      <c r="E29" s="19" t="n"/>
      <c r="F29" s="19" t="n"/>
      <c r="G29" s="20" t="n"/>
      <c r="H29" s="20" t="n"/>
      <c r="I29" s="21">
        <f>IF(OR(D29="",E29=""),"",IF(D29="Securities",IF(G29="N",MIN(E29,IF(F29="",E29,F29)),E29),E29))</f>
        <v/>
      </c>
      <c r="J29" s="22">
        <f>IF(E29="","",TRIM(IF(AND(E29&gt;=250,H29&lt;&gt;"Y"),"Receipt letter needed. ","")&amp;IF(AND(D29&lt;&gt;"Cash",E29&gt;5000),"Appraisal likely. ","")&amp;IF(AND(D29="Securities",G29="N"),"Short-term: limited to basis. ","")))</f>
        <v/>
      </c>
    </row>
    <row r="30" ht="17" customHeight="1">
      <c r="A30" s="17" t="n"/>
      <c r="B30" s="18" t="n"/>
      <c r="C30" s="18" t="n"/>
      <c r="D30" s="18" t="n"/>
      <c r="E30" s="19" t="n"/>
      <c r="F30" s="19" t="n"/>
      <c r="G30" s="20" t="n"/>
      <c r="H30" s="20" t="n"/>
      <c r="I30" s="21">
        <f>IF(OR(D30="",E30=""),"",IF(D30="Securities",IF(G30="N",MIN(E30,IF(F30="",E30,F30)),E30),E30))</f>
        <v/>
      </c>
      <c r="J30" s="22">
        <f>IF(E30="","",TRIM(IF(AND(E30&gt;=250,H30&lt;&gt;"Y"),"Receipt letter needed. ","")&amp;IF(AND(D30&lt;&gt;"Cash",E30&gt;5000),"Appraisal likely. ","")&amp;IF(AND(D30="Securities",G30="N"),"Short-term: limited to basis. ","")))</f>
        <v/>
      </c>
    </row>
    <row r="31" ht="17" customHeight="1">
      <c r="A31" s="17" t="n"/>
      <c r="B31" s="18" t="n"/>
      <c r="C31" s="18" t="n"/>
      <c r="D31" s="18" t="n"/>
      <c r="E31" s="19" t="n"/>
      <c r="F31" s="19" t="n"/>
      <c r="G31" s="20" t="n"/>
      <c r="H31" s="20" t="n"/>
      <c r="I31" s="21">
        <f>IF(OR(D31="",E31=""),"",IF(D31="Securities",IF(G31="N",MIN(E31,IF(F31="",E31,F31)),E31),E31))</f>
        <v/>
      </c>
      <c r="J31" s="22">
        <f>IF(E31="","",TRIM(IF(AND(E31&gt;=250,H31&lt;&gt;"Y"),"Receipt letter needed. ","")&amp;IF(AND(D31&lt;&gt;"Cash",E31&gt;5000),"Appraisal likely. ","")&amp;IF(AND(D31="Securities",G31="N"),"Short-term: limited to basis. ","")))</f>
        <v/>
      </c>
    </row>
    <row r="32" ht="17" customHeight="1">
      <c r="A32" s="17" t="n"/>
      <c r="B32" s="18" t="n"/>
      <c r="C32" s="18" t="n"/>
      <c r="D32" s="18" t="n"/>
      <c r="E32" s="19" t="n"/>
      <c r="F32" s="19" t="n"/>
      <c r="G32" s="20" t="n"/>
      <c r="H32" s="20" t="n"/>
      <c r="I32" s="21">
        <f>IF(OR(D32="",E32=""),"",IF(D32="Securities",IF(G32="N",MIN(E32,IF(F32="",E32,F32)),E32),E32))</f>
        <v/>
      </c>
      <c r="J32" s="22">
        <f>IF(E32="","",TRIM(IF(AND(E32&gt;=250,H32&lt;&gt;"Y"),"Receipt letter needed. ","")&amp;IF(AND(D32&lt;&gt;"Cash",E32&gt;5000),"Appraisal likely. ","")&amp;IF(AND(D32="Securities",G32="N"),"Short-term: limited to basis. ","")))</f>
        <v/>
      </c>
    </row>
    <row r="33" ht="17" customHeight="1">
      <c r="A33" s="17" t="n"/>
      <c r="B33" s="18" t="n"/>
      <c r="C33" s="18" t="n"/>
      <c r="D33" s="18" t="n"/>
      <c r="E33" s="19" t="n"/>
      <c r="F33" s="19" t="n"/>
      <c r="G33" s="20" t="n"/>
      <c r="H33" s="20" t="n"/>
      <c r="I33" s="21">
        <f>IF(OR(D33="",E33=""),"",IF(D33="Securities",IF(G33="N",MIN(E33,IF(F33="",E33,F33)),E33),E33))</f>
        <v/>
      </c>
      <c r="J33" s="22">
        <f>IF(E33="","",TRIM(IF(AND(E33&gt;=250,H33&lt;&gt;"Y"),"Receipt letter needed. ","")&amp;IF(AND(D33&lt;&gt;"Cash",E33&gt;5000),"Appraisal likely. ","")&amp;IF(AND(D33="Securities",G33="N"),"Short-term: limited to basis. ","")))</f>
        <v/>
      </c>
    </row>
    <row r="34" ht="17" customHeight="1">
      <c r="A34" s="17" t="n"/>
      <c r="B34" s="18" t="n"/>
      <c r="C34" s="18" t="n"/>
      <c r="D34" s="18" t="n"/>
      <c r="E34" s="19" t="n"/>
      <c r="F34" s="19" t="n"/>
      <c r="G34" s="20" t="n"/>
      <c r="H34" s="20" t="n"/>
      <c r="I34" s="21">
        <f>IF(OR(D34="",E34=""),"",IF(D34="Securities",IF(G34="N",MIN(E34,IF(F34="",E34,F34)),E34),E34))</f>
        <v/>
      </c>
      <c r="J34" s="22">
        <f>IF(E34="","",TRIM(IF(AND(E34&gt;=250,H34&lt;&gt;"Y"),"Receipt letter needed. ","")&amp;IF(AND(D34&lt;&gt;"Cash",E34&gt;5000),"Appraisal likely. ","")&amp;IF(AND(D34="Securities",G34="N"),"Short-term: limited to basis. ","")))</f>
        <v/>
      </c>
    </row>
    <row r="35" ht="17" customHeight="1">
      <c r="A35" s="17" t="n"/>
      <c r="B35" s="18" t="n"/>
      <c r="C35" s="18" t="n"/>
      <c r="D35" s="18" t="n"/>
      <c r="E35" s="19" t="n"/>
      <c r="F35" s="19" t="n"/>
      <c r="G35" s="20" t="n"/>
      <c r="H35" s="20" t="n"/>
      <c r="I35" s="21">
        <f>IF(OR(D35="",E35=""),"",IF(D35="Securities",IF(G35="N",MIN(E35,IF(F35="",E35,F35)),E35),E35))</f>
        <v/>
      </c>
      <c r="J35" s="22">
        <f>IF(E35="","",TRIM(IF(AND(E35&gt;=250,H35&lt;&gt;"Y"),"Receipt letter needed. ","")&amp;IF(AND(D35&lt;&gt;"Cash",E35&gt;5000),"Appraisal likely. ","")&amp;IF(AND(D35="Securities",G35="N"),"Short-term: limited to basis. ","")))</f>
        <v/>
      </c>
    </row>
    <row r="36" ht="17" customHeight="1">
      <c r="A36" s="17" t="n"/>
      <c r="B36" s="18" t="n"/>
      <c r="C36" s="18" t="n"/>
      <c r="D36" s="18" t="n"/>
      <c r="E36" s="19" t="n"/>
      <c r="F36" s="19" t="n"/>
      <c r="G36" s="20" t="n"/>
      <c r="H36" s="20" t="n"/>
      <c r="I36" s="21">
        <f>IF(OR(D36="",E36=""),"",IF(D36="Securities",IF(G36="N",MIN(E36,IF(F36="",E36,F36)),E36),E36))</f>
        <v/>
      </c>
      <c r="J36" s="22">
        <f>IF(E36="","",TRIM(IF(AND(E36&gt;=250,H36&lt;&gt;"Y"),"Receipt letter needed. ","")&amp;IF(AND(D36&lt;&gt;"Cash",E36&gt;5000),"Appraisal likely. ","")&amp;IF(AND(D36="Securities",G36="N"),"Short-term: limited to basis. ","")))</f>
        <v/>
      </c>
    </row>
    <row r="37" ht="17" customHeight="1">
      <c r="A37" s="17" t="n"/>
      <c r="B37" s="18" t="n"/>
      <c r="C37" s="18" t="n"/>
      <c r="D37" s="18" t="n"/>
      <c r="E37" s="19" t="n"/>
      <c r="F37" s="19" t="n"/>
      <c r="G37" s="20" t="n"/>
      <c r="H37" s="20" t="n"/>
      <c r="I37" s="21">
        <f>IF(OR(D37="",E37=""),"",IF(D37="Securities",IF(G37="N",MIN(E37,IF(F37="",E37,F37)),E37),E37))</f>
        <v/>
      </c>
      <c r="J37" s="22">
        <f>IF(E37="","",TRIM(IF(AND(E37&gt;=250,H37&lt;&gt;"Y"),"Receipt letter needed. ","")&amp;IF(AND(D37&lt;&gt;"Cash",E37&gt;5000),"Appraisal likely. ","")&amp;IF(AND(D37="Securities",G37="N"),"Short-term: limited to basis. ","")))</f>
        <v/>
      </c>
    </row>
    <row r="38" ht="17" customHeight="1">
      <c r="A38" s="17" t="n"/>
      <c r="B38" s="18" t="n"/>
      <c r="C38" s="18" t="n"/>
      <c r="D38" s="18" t="n"/>
      <c r="E38" s="19" t="n"/>
      <c r="F38" s="19" t="n"/>
      <c r="G38" s="20" t="n"/>
      <c r="H38" s="20" t="n"/>
      <c r="I38" s="21">
        <f>IF(OR(D38="",E38=""),"",IF(D38="Securities",IF(G38="N",MIN(E38,IF(F38="",E38,F38)),E38),E38))</f>
        <v/>
      </c>
      <c r="J38" s="22">
        <f>IF(E38="","",TRIM(IF(AND(E38&gt;=250,H38&lt;&gt;"Y"),"Receipt letter needed. ","")&amp;IF(AND(D38&lt;&gt;"Cash",E38&gt;5000),"Appraisal likely. ","")&amp;IF(AND(D38="Securities",G38="N"),"Short-term: limited to basis. ","")))</f>
        <v/>
      </c>
    </row>
    <row r="39" ht="17" customHeight="1">
      <c r="A39" s="17" t="n"/>
      <c r="B39" s="18" t="n"/>
      <c r="C39" s="18" t="n"/>
      <c r="D39" s="18" t="n"/>
      <c r="E39" s="19" t="n"/>
      <c r="F39" s="19" t="n"/>
      <c r="G39" s="20" t="n"/>
      <c r="H39" s="20" t="n"/>
      <c r="I39" s="21">
        <f>IF(OR(D39="",E39=""),"",IF(D39="Securities",IF(G39="N",MIN(E39,IF(F39="",E39,F39)),E39),E39))</f>
        <v/>
      </c>
      <c r="J39" s="22">
        <f>IF(E39="","",TRIM(IF(AND(E39&gt;=250,H39&lt;&gt;"Y"),"Receipt letter needed. ","")&amp;IF(AND(D39&lt;&gt;"Cash",E39&gt;5000),"Appraisal likely. ","")&amp;IF(AND(D39="Securities",G39="N"),"Short-term: limited to basis. ","")))</f>
        <v/>
      </c>
    </row>
    <row r="40" ht="17" customHeight="1">
      <c r="A40" s="17" t="n"/>
      <c r="B40" s="18" t="n"/>
      <c r="C40" s="18" t="n"/>
      <c r="D40" s="18" t="n"/>
      <c r="E40" s="19" t="n"/>
      <c r="F40" s="19" t="n"/>
      <c r="G40" s="20" t="n"/>
      <c r="H40" s="20" t="n"/>
      <c r="I40" s="21">
        <f>IF(OR(D40="",E40=""),"",IF(D40="Securities",IF(G40="N",MIN(E40,IF(F40="",E40,F40)),E40),E40))</f>
        <v/>
      </c>
      <c r="J40" s="22">
        <f>IF(E40="","",TRIM(IF(AND(E40&gt;=250,H40&lt;&gt;"Y"),"Receipt letter needed. ","")&amp;IF(AND(D40&lt;&gt;"Cash",E40&gt;5000),"Appraisal likely. ","")&amp;IF(AND(D40="Securities",G40="N"),"Short-term: limited to basis. ","")))</f>
        <v/>
      </c>
    </row>
    <row r="41" ht="17" customHeight="1">
      <c r="A41" s="17" t="n"/>
      <c r="B41" s="18" t="n"/>
      <c r="C41" s="18" t="n"/>
      <c r="D41" s="18" t="n"/>
      <c r="E41" s="19" t="n"/>
      <c r="F41" s="19" t="n"/>
      <c r="G41" s="20" t="n"/>
      <c r="H41" s="20" t="n"/>
      <c r="I41" s="21">
        <f>IF(OR(D41="",E41=""),"",IF(D41="Securities",IF(G41="N",MIN(E41,IF(F41="",E41,F41)),E41),E41))</f>
        <v/>
      </c>
      <c r="J41" s="22">
        <f>IF(E41="","",TRIM(IF(AND(E41&gt;=250,H41&lt;&gt;"Y"),"Receipt letter needed. ","")&amp;IF(AND(D41&lt;&gt;"Cash",E41&gt;5000),"Appraisal likely. ","")&amp;IF(AND(D41="Securities",G41="N"),"Short-term: limited to basis. ","")))</f>
        <v/>
      </c>
    </row>
    <row r="42" ht="17" customHeight="1">
      <c r="A42" s="17" t="n"/>
      <c r="B42" s="18" t="n"/>
      <c r="C42" s="18" t="n"/>
      <c r="D42" s="18" t="n"/>
      <c r="E42" s="19" t="n"/>
      <c r="F42" s="19" t="n"/>
      <c r="G42" s="20" t="n"/>
      <c r="H42" s="20" t="n"/>
      <c r="I42" s="21">
        <f>IF(OR(D42="",E42=""),"",IF(D42="Securities",IF(G42="N",MIN(E42,IF(F42="",E42,F42)),E42),E42))</f>
        <v/>
      </c>
      <c r="J42" s="22">
        <f>IF(E42="","",TRIM(IF(AND(E42&gt;=250,H42&lt;&gt;"Y"),"Receipt letter needed. ","")&amp;IF(AND(D42&lt;&gt;"Cash",E42&gt;5000),"Appraisal likely. ","")&amp;IF(AND(D42="Securities",G42="N"),"Short-term: limited to basis. ","")))</f>
        <v/>
      </c>
    </row>
    <row r="43" ht="17" customHeight="1">
      <c r="A43" s="17" t="n"/>
      <c r="B43" s="18" t="n"/>
      <c r="C43" s="18" t="n"/>
      <c r="D43" s="18" t="n"/>
      <c r="E43" s="19" t="n"/>
      <c r="F43" s="19" t="n"/>
      <c r="G43" s="20" t="n"/>
      <c r="H43" s="20" t="n"/>
      <c r="I43" s="21">
        <f>IF(OR(D43="",E43=""),"",IF(D43="Securities",IF(G43="N",MIN(E43,IF(F43="",E43,F43)),E43),E43))</f>
        <v/>
      </c>
      <c r="J43" s="22">
        <f>IF(E43="","",TRIM(IF(AND(E43&gt;=250,H43&lt;&gt;"Y"),"Receipt letter needed. ","")&amp;IF(AND(D43&lt;&gt;"Cash",E43&gt;5000),"Appraisal likely. ","")&amp;IF(AND(D43="Securities",G43="N"),"Short-term: limited to basis. ","")))</f>
        <v/>
      </c>
    </row>
    <row r="44" ht="17" customHeight="1">
      <c r="A44" s="17" t="n"/>
      <c r="B44" s="18" t="n"/>
      <c r="C44" s="18" t="n"/>
      <c r="D44" s="18" t="n"/>
      <c r="E44" s="19" t="n"/>
      <c r="F44" s="19" t="n"/>
      <c r="G44" s="20" t="n"/>
      <c r="H44" s="20" t="n"/>
      <c r="I44" s="21">
        <f>IF(OR(D44="",E44=""),"",IF(D44="Securities",IF(G44="N",MIN(E44,IF(F44="",E44,F44)),E44),E44))</f>
        <v/>
      </c>
      <c r="J44" s="22">
        <f>IF(E44="","",TRIM(IF(AND(E44&gt;=250,H44&lt;&gt;"Y"),"Receipt letter needed. ","")&amp;IF(AND(D44&lt;&gt;"Cash",E44&gt;5000),"Appraisal likely. ","")&amp;IF(AND(D44="Securities",G44="N"),"Short-term: limited to basis. ","")))</f>
        <v/>
      </c>
    </row>
    <row r="45" ht="17" customHeight="1">
      <c r="A45" s="17" t="n"/>
      <c r="B45" s="18" t="n"/>
      <c r="C45" s="18" t="n"/>
      <c r="D45" s="18" t="n"/>
      <c r="E45" s="19" t="n"/>
      <c r="F45" s="19" t="n"/>
      <c r="G45" s="20" t="n"/>
      <c r="H45" s="20" t="n"/>
      <c r="I45" s="21">
        <f>IF(OR(D45="",E45=""),"",IF(D45="Securities",IF(G45="N",MIN(E45,IF(F45="",E45,F45)),E45),E45))</f>
        <v/>
      </c>
      <c r="J45" s="22">
        <f>IF(E45="","",TRIM(IF(AND(E45&gt;=250,H45&lt;&gt;"Y"),"Receipt letter needed. ","")&amp;IF(AND(D45&lt;&gt;"Cash",E45&gt;5000),"Appraisal likely. ","")&amp;IF(AND(D45="Securities",G45="N"),"Short-term: limited to basis. ","")))</f>
        <v/>
      </c>
    </row>
    <row r="46" ht="17" customHeight="1">
      <c r="A46" s="17" t="n"/>
      <c r="B46" s="18" t="n"/>
      <c r="C46" s="18" t="n"/>
      <c r="D46" s="18" t="n"/>
      <c r="E46" s="19" t="n"/>
      <c r="F46" s="19" t="n"/>
      <c r="G46" s="20" t="n"/>
      <c r="H46" s="20" t="n"/>
      <c r="I46" s="21">
        <f>IF(OR(D46="",E46=""),"",IF(D46="Securities",IF(G46="N",MIN(E46,IF(F46="",E46,F46)),E46),E46))</f>
        <v/>
      </c>
      <c r="J46" s="22">
        <f>IF(E46="","",TRIM(IF(AND(E46&gt;=250,H46&lt;&gt;"Y"),"Receipt letter needed. ","")&amp;IF(AND(D46&lt;&gt;"Cash",E46&gt;5000),"Appraisal likely. ","")&amp;IF(AND(D46="Securities",G46="N"),"Short-term: limited to basis. ","")))</f>
        <v/>
      </c>
    </row>
    <row r="47" ht="17" customHeight="1">
      <c r="A47" s="17" t="n"/>
      <c r="B47" s="18" t="n"/>
      <c r="C47" s="18" t="n"/>
      <c r="D47" s="18" t="n"/>
      <c r="E47" s="19" t="n"/>
      <c r="F47" s="19" t="n"/>
      <c r="G47" s="20" t="n"/>
      <c r="H47" s="20" t="n"/>
      <c r="I47" s="21">
        <f>IF(OR(D47="",E47=""),"",IF(D47="Securities",IF(G47="N",MIN(E47,IF(F47="",E47,F47)),E47),E47))</f>
        <v/>
      </c>
      <c r="J47" s="22">
        <f>IF(E47="","",TRIM(IF(AND(E47&gt;=250,H47&lt;&gt;"Y"),"Receipt letter needed. ","")&amp;IF(AND(D47&lt;&gt;"Cash",E47&gt;5000),"Appraisal likely. ","")&amp;IF(AND(D47="Securities",G47="N"),"Short-term: limited to basis. ","")))</f>
        <v/>
      </c>
    </row>
    <row r="48" ht="17" customHeight="1">
      <c r="A48" s="17" t="n"/>
      <c r="B48" s="18" t="n"/>
      <c r="C48" s="18" t="n"/>
      <c r="D48" s="18" t="n"/>
      <c r="E48" s="19" t="n"/>
      <c r="F48" s="19" t="n"/>
      <c r="G48" s="20" t="n"/>
      <c r="H48" s="20" t="n"/>
      <c r="I48" s="21">
        <f>IF(OR(D48="",E48=""),"",IF(D48="Securities",IF(G48="N",MIN(E48,IF(F48="",E48,F48)),E48),E48))</f>
        <v/>
      </c>
      <c r="J48" s="22">
        <f>IF(E48="","",TRIM(IF(AND(E48&gt;=250,H48&lt;&gt;"Y"),"Receipt letter needed. ","")&amp;IF(AND(D48&lt;&gt;"Cash",E48&gt;5000),"Appraisal likely. ","")&amp;IF(AND(D48="Securities",G48="N"),"Short-term: limited to basis. ","")))</f>
        <v/>
      </c>
    </row>
    <row r="49" ht="17" customHeight="1">
      <c r="A49" s="17" t="n"/>
      <c r="B49" s="18" t="n"/>
      <c r="C49" s="18" t="n"/>
      <c r="D49" s="18" t="n"/>
      <c r="E49" s="19" t="n"/>
      <c r="F49" s="19" t="n"/>
      <c r="G49" s="20" t="n"/>
      <c r="H49" s="20" t="n"/>
      <c r="I49" s="21">
        <f>IF(OR(D49="",E49=""),"",IF(D49="Securities",IF(G49="N",MIN(E49,IF(F49="",E49,F49)),E49),E49))</f>
        <v/>
      </c>
      <c r="J49" s="22">
        <f>IF(E49="","",TRIM(IF(AND(E49&gt;=250,H49&lt;&gt;"Y"),"Receipt letter needed. ","")&amp;IF(AND(D49&lt;&gt;"Cash",E49&gt;5000),"Appraisal likely. ","")&amp;IF(AND(D49="Securities",G49="N"),"Short-term: limited to basis. ","")))</f>
        <v/>
      </c>
    </row>
    <row r="50" ht="17" customHeight="1">
      <c r="A50" s="17" t="n"/>
      <c r="B50" s="18" t="n"/>
      <c r="C50" s="18" t="n"/>
      <c r="D50" s="18" t="n"/>
      <c r="E50" s="19" t="n"/>
      <c r="F50" s="19" t="n"/>
      <c r="G50" s="20" t="n"/>
      <c r="H50" s="20" t="n"/>
      <c r="I50" s="21">
        <f>IF(OR(D50="",E50=""),"",IF(D50="Securities",IF(G50="N",MIN(E50,IF(F50="",E50,F50)),E50),E50))</f>
        <v/>
      </c>
      <c r="J50" s="22">
        <f>IF(E50="","",TRIM(IF(AND(E50&gt;=250,H50&lt;&gt;"Y"),"Receipt letter needed. ","")&amp;IF(AND(D50&lt;&gt;"Cash",E50&gt;5000),"Appraisal likely. ","")&amp;IF(AND(D50="Securities",G50="N"),"Short-term: limited to basis. ","")))</f>
        <v/>
      </c>
    </row>
    <row r="51" ht="17" customHeight="1">
      <c r="A51" s="17" t="n"/>
      <c r="B51" s="18" t="n"/>
      <c r="C51" s="18" t="n"/>
      <c r="D51" s="18" t="n"/>
      <c r="E51" s="19" t="n"/>
      <c r="F51" s="19" t="n"/>
      <c r="G51" s="20" t="n"/>
      <c r="H51" s="20" t="n"/>
      <c r="I51" s="21">
        <f>IF(OR(D51="",E51=""),"",IF(D51="Securities",IF(G51="N",MIN(E51,IF(F51="",E51,F51)),E51),E51))</f>
        <v/>
      </c>
      <c r="J51" s="22">
        <f>IF(E51="","",TRIM(IF(AND(E51&gt;=250,H51&lt;&gt;"Y"),"Receipt letter needed. ","")&amp;IF(AND(D51&lt;&gt;"Cash",E51&gt;5000),"Appraisal likely. ","")&amp;IF(AND(D51="Securities",G51="N"),"Short-term: limited to basis. ","")))</f>
        <v/>
      </c>
    </row>
    <row r="52" ht="17" customHeight="1">
      <c r="A52" s="17" t="n"/>
      <c r="B52" s="18" t="n"/>
      <c r="C52" s="18" t="n"/>
      <c r="D52" s="18" t="n"/>
      <c r="E52" s="19" t="n"/>
      <c r="F52" s="19" t="n"/>
      <c r="G52" s="20" t="n"/>
      <c r="H52" s="20" t="n"/>
      <c r="I52" s="21">
        <f>IF(OR(D52="",E52=""),"",IF(D52="Securities",IF(G52="N",MIN(E52,IF(F52="",E52,F52)),E52),E52))</f>
        <v/>
      </c>
      <c r="J52" s="22">
        <f>IF(E52="","",TRIM(IF(AND(E52&gt;=250,H52&lt;&gt;"Y"),"Receipt letter needed. ","")&amp;IF(AND(D52&lt;&gt;"Cash",E52&gt;5000),"Appraisal likely. ","")&amp;IF(AND(D52="Securities",G52="N"),"Short-term: limited to basis. ","")))</f>
        <v/>
      </c>
    </row>
    <row r="53" ht="17" customHeight="1">
      <c r="A53" s="17" t="n"/>
      <c r="B53" s="18" t="n"/>
      <c r="C53" s="18" t="n"/>
      <c r="D53" s="18" t="n"/>
      <c r="E53" s="19" t="n"/>
      <c r="F53" s="19" t="n"/>
      <c r="G53" s="20" t="n"/>
      <c r="H53" s="20" t="n"/>
      <c r="I53" s="21">
        <f>IF(OR(D53="",E53=""),"",IF(D53="Securities",IF(G53="N",MIN(E53,IF(F53="",E53,F53)),E53),E53))</f>
        <v/>
      </c>
      <c r="J53" s="22">
        <f>IF(E53="","",TRIM(IF(AND(E53&gt;=250,H53&lt;&gt;"Y"),"Receipt letter needed. ","")&amp;IF(AND(D53&lt;&gt;"Cash",E53&gt;5000),"Appraisal likely. ","")&amp;IF(AND(D53="Securities",G53="N"),"Short-term: limited to basis. ","")))</f>
        <v/>
      </c>
    </row>
    <row r="54" ht="17" customHeight="1">
      <c r="A54" s="17" t="n"/>
      <c r="B54" s="18" t="n"/>
      <c r="C54" s="18" t="n"/>
      <c r="D54" s="18" t="n"/>
      <c r="E54" s="19" t="n"/>
      <c r="F54" s="19" t="n"/>
      <c r="G54" s="20" t="n"/>
      <c r="H54" s="20" t="n"/>
      <c r="I54" s="21">
        <f>IF(OR(D54="",E54=""),"",IF(D54="Securities",IF(G54="N",MIN(E54,IF(F54="",E54,F54)),E54),E54))</f>
        <v/>
      </c>
      <c r="J54" s="22">
        <f>IF(E54="","",TRIM(IF(AND(E54&gt;=250,H54&lt;&gt;"Y"),"Receipt letter needed. ","")&amp;IF(AND(D54&lt;&gt;"Cash",E54&gt;5000),"Appraisal likely. ","")&amp;IF(AND(D54="Securities",G54="N"),"Short-term: limited to basis. ","")))</f>
        <v/>
      </c>
    </row>
    <row r="55" ht="17" customHeight="1">
      <c r="A55" s="17" t="n"/>
      <c r="B55" s="18" t="n"/>
      <c r="C55" s="18" t="n"/>
      <c r="D55" s="18" t="n"/>
      <c r="E55" s="19" t="n"/>
      <c r="F55" s="19" t="n"/>
      <c r="G55" s="20" t="n"/>
      <c r="H55" s="20" t="n"/>
      <c r="I55" s="21">
        <f>IF(OR(D55="",E55=""),"",IF(D55="Securities",IF(G55="N",MIN(E55,IF(F55="",E55,F55)),E55),E55))</f>
        <v/>
      </c>
      <c r="J55" s="22">
        <f>IF(E55="","",TRIM(IF(AND(E55&gt;=250,H55&lt;&gt;"Y"),"Receipt letter needed. ","")&amp;IF(AND(D55&lt;&gt;"Cash",E55&gt;5000),"Appraisal likely. ","")&amp;IF(AND(D55="Securities",G55="N"),"Short-term: limited to basis. ","")))</f>
        <v/>
      </c>
    </row>
    <row r="56" ht="17" customHeight="1">
      <c r="A56" s="17" t="n"/>
      <c r="B56" s="18" t="n"/>
      <c r="C56" s="18" t="n"/>
      <c r="D56" s="18" t="n"/>
      <c r="E56" s="19" t="n"/>
      <c r="F56" s="19" t="n"/>
      <c r="G56" s="20" t="n"/>
      <c r="H56" s="20" t="n"/>
      <c r="I56" s="21">
        <f>IF(OR(D56="",E56=""),"",IF(D56="Securities",IF(G56="N",MIN(E56,IF(F56="",E56,F56)),E56),E56))</f>
        <v/>
      </c>
      <c r="J56" s="22">
        <f>IF(E56="","",TRIM(IF(AND(E56&gt;=250,H56&lt;&gt;"Y"),"Receipt letter needed. ","")&amp;IF(AND(D56&lt;&gt;"Cash",E56&gt;5000),"Appraisal likely. ","")&amp;IF(AND(D56="Securities",G56="N"),"Short-term: limited to basis. ","")))</f>
        <v/>
      </c>
    </row>
    <row r="57" ht="17" customHeight="1">
      <c r="A57" s="17" t="n"/>
      <c r="B57" s="18" t="n"/>
      <c r="C57" s="18" t="n"/>
      <c r="D57" s="18" t="n"/>
      <c r="E57" s="19" t="n"/>
      <c r="F57" s="19" t="n"/>
      <c r="G57" s="20" t="n"/>
      <c r="H57" s="20" t="n"/>
      <c r="I57" s="21">
        <f>IF(OR(D57="",E57=""),"",IF(D57="Securities",IF(G57="N",MIN(E57,IF(F57="",E57,F57)),E57),E57))</f>
        <v/>
      </c>
      <c r="J57" s="22">
        <f>IF(E57="","",TRIM(IF(AND(E57&gt;=250,H57&lt;&gt;"Y"),"Receipt letter needed. ","")&amp;IF(AND(D57&lt;&gt;"Cash",E57&gt;5000),"Appraisal likely. ","")&amp;IF(AND(D57="Securities",G57="N"),"Short-term: limited to basis. ","")))</f>
        <v/>
      </c>
    </row>
    <row r="58" ht="17" customHeight="1">
      <c r="A58" s="17" t="n"/>
      <c r="B58" s="18" t="n"/>
      <c r="C58" s="18" t="n"/>
      <c r="D58" s="18" t="n"/>
      <c r="E58" s="19" t="n"/>
      <c r="F58" s="19" t="n"/>
      <c r="G58" s="20" t="n"/>
      <c r="H58" s="20" t="n"/>
      <c r="I58" s="21">
        <f>IF(OR(D58="",E58=""),"",IF(D58="Securities",IF(G58="N",MIN(E58,IF(F58="",E58,F58)),E58),E58))</f>
        <v/>
      </c>
      <c r="J58" s="22">
        <f>IF(E58="","",TRIM(IF(AND(E58&gt;=250,H58&lt;&gt;"Y"),"Receipt letter needed. ","")&amp;IF(AND(D58&lt;&gt;"Cash",E58&gt;5000),"Appraisal likely. ","")&amp;IF(AND(D58="Securities",G58="N"),"Short-term: limited to basis. ","")))</f>
        <v/>
      </c>
    </row>
    <row r="59" ht="17" customHeight="1">
      <c r="A59" s="17" t="n"/>
      <c r="B59" s="18" t="n"/>
      <c r="C59" s="18" t="n"/>
      <c r="D59" s="18" t="n"/>
      <c r="E59" s="19" t="n"/>
      <c r="F59" s="19" t="n"/>
      <c r="G59" s="20" t="n"/>
      <c r="H59" s="20" t="n"/>
      <c r="I59" s="21">
        <f>IF(OR(D59="",E59=""),"",IF(D59="Securities",IF(G59="N",MIN(E59,IF(F59="",E59,F59)),E59),E59))</f>
        <v/>
      </c>
      <c r="J59" s="22">
        <f>IF(E59="","",TRIM(IF(AND(E59&gt;=250,H59&lt;&gt;"Y"),"Receipt letter needed. ","")&amp;IF(AND(D59&lt;&gt;"Cash",E59&gt;5000),"Appraisal likely. ","")&amp;IF(AND(D59="Securities",G59="N"),"Short-term: limited to basis. ","")))</f>
        <v/>
      </c>
    </row>
    <row r="60" ht="17" customHeight="1">
      <c r="A60" s="17" t="n"/>
      <c r="B60" s="18" t="n"/>
      <c r="C60" s="18" t="n"/>
      <c r="D60" s="18" t="n"/>
      <c r="E60" s="19" t="n"/>
      <c r="F60" s="19" t="n"/>
      <c r="G60" s="20" t="n"/>
      <c r="H60" s="20" t="n"/>
      <c r="I60" s="21">
        <f>IF(OR(D60="",E60=""),"",IF(D60="Securities",IF(G60="N",MIN(E60,IF(F60="",E60,F60)),E60),E60))</f>
        <v/>
      </c>
      <c r="J60" s="22">
        <f>IF(E60="","",TRIM(IF(AND(E60&gt;=250,H60&lt;&gt;"Y"),"Receipt letter needed. ","")&amp;IF(AND(D60&lt;&gt;"Cash",E60&gt;5000),"Appraisal likely. ","")&amp;IF(AND(D60="Securities",G60="N"),"Short-term: limited to basis. ","")))</f>
        <v/>
      </c>
    </row>
    <row r="61" ht="17" customHeight="1">
      <c r="A61" s="17" t="n"/>
      <c r="B61" s="18" t="n"/>
      <c r="C61" s="18" t="n"/>
      <c r="D61" s="18" t="n"/>
      <c r="E61" s="19" t="n"/>
      <c r="F61" s="19" t="n"/>
      <c r="G61" s="20" t="n"/>
      <c r="H61" s="20" t="n"/>
      <c r="I61" s="21">
        <f>IF(OR(D61="",E61=""),"",IF(D61="Securities",IF(G61="N",MIN(E61,IF(F61="",E61,F61)),E61),E61))</f>
        <v/>
      </c>
      <c r="J61" s="22">
        <f>IF(E61="","",TRIM(IF(AND(E61&gt;=250,H61&lt;&gt;"Y"),"Receipt letter needed. ","")&amp;IF(AND(D61&lt;&gt;"Cash",E61&gt;5000),"Appraisal likely. ","")&amp;IF(AND(D61="Securities",G61="N"),"Short-term: limited to basis. ","")))</f>
        <v/>
      </c>
    </row>
    <row r="62" ht="17" customHeight="1">
      <c r="A62" s="17" t="n"/>
      <c r="B62" s="18" t="n"/>
      <c r="C62" s="18" t="n"/>
      <c r="D62" s="18" t="n"/>
      <c r="E62" s="19" t="n"/>
      <c r="F62" s="19" t="n"/>
      <c r="G62" s="20" t="n"/>
      <c r="H62" s="20" t="n"/>
      <c r="I62" s="21">
        <f>IF(OR(D62="",E62=""),"",IF(D62="Securities",IF(G62="N",MIN(E62,IF(F62="",E62,F62)),E62),E62))</f>
        <v/>
      </c>
      <c r="J62" s="22">
        <f>IF(E62="","",TRIM(IF(AND(E62&gt;=250,H62&lt;&gt;"Y"),"Receipt letter needed. ","")&amp;IF(AND(D62&lt;&gt;"Cash",E62&gt;5000),"Appraisal likely. ","")&amp;IF(AND(D62="Securities",G62="N"),"Short-term: limited to basis. ","")))</f>
        <v/>
      </c>
    </row>
    <row r="63" ht="17" customHeight="1">
      <c r="A63" s="17" t="n"/>
      <c r="B63" s="18" t="n"/>
      <c r="C63" s="18" t="n"/>
      <c r="D63" s="18" t="n"/>
      <c r="E63" s="19" t="n"/>
      <c r="F63" s="19" t="n"/>
      <c r="G63" s="20" t="n"/>
      <c r="H63" s="20" t="n"/>
      <c r="I63" s="21">
        <f>IF(OR(D63="",E63=""),"",IF(D63="Securities",IF(G63="N",MIN(E63,IF(F63="",E63,F63)),E63),E63))</f>
        <v/>
      </c>
      <c r="J63" s="22">
        <f>IF(E63="","",TRIM(IF(AND(E63&gt;=250,H63&lt;&gt;"Y"),"Receipt letter needed. ","")&amp;IF(AND(D63&lt;&gt;"Cash",E63&gt;5000),"Appraisal likely. ","")&amp;IF(AND(D63="Securities",G63="N"),"Short-term: limited to basis. ","")))</f>
        <v/>
      </c>
    </row>
    <row r="64" ht="17" customHeight="1">
      <c r="A64" s="17" t="n"/>
      <c r="B64" s="18" t="n"/>
      <c r="C64" s="18" t="n"/>
      <c r="D64" s="18" t="n"/>
      <c r="E64" s="19" t="n"/>
      <c r="F64" s="19" t="n"/>
      <c r="G64" s="20" t="n"/>
      <c r="H64" s="20" t="n"/>
      <c r="I64" s="21">
        <f>IF(OR(D64="",E64=""),"",IF(D64="Securities",IF(G64="N",MIN(E64,IF(F64="",E64,F64)),E64),E64))</f>
        <v/>
      </c>
      <c r="J64" s="22">
        <f>IF(E64="","",TRIM(IF(AND(E64&gt;=250,H64&lt;&gt;"Y"),"Receipt letter needed. ","")&amp;IF(AND(D64&lt;&gt;"Cash",E64&gt;5000),"Appraisal likely. ","")&amp;IF(AND(D64="Securities",G64="N"),"Short-term: limited to basis. ","")))</f>
        <v/>
      </c>
    </row>
    <row r="65" ht="17" customHeight="1">
      <c r="A65" s="17" t="n"/>
      <c r="B65" s="18" t="n"/>
      <c r="C65" s="18" t="n"/>
      <c r="D65" s="18" t="n"/>
      <c r="E65" s="19" t="n"/>
      <c r="F65" s="19" t="n"/>
      <c r="G65" s="20" t="n"/>
      <c r="H65" s="20" t="n"/>
      <c r="I65" s="21">
        <f>IF(OR(D65="",E65=""),"",IF(D65="Securities",IF(G65="N",MIN(E65,IF(F65="",E65,F65)),E65),E65))</f>
        <v/>
      </c>
      <c r="J65" s="22">
        <f>IF(E65="","",TRIM(IF(AND(E65&gt;=250,H65&lt;&gt;"Y"),"Receipt letter needed. ","")&amp;IF(AND(D65&lt;&gt;"Cash",E65&gt;5000),"Appraisal likely. ","")&amp;IF(AND(D65="Securities",G65="N"),"Short-term: limited to basis. ","")))</f>
        <v/>
      </c>
    </row>
    <row r="66" ht="17" customHeight="1">
      <c r="A66" s="17" t="n"/>
      <c r="B66" s="18" t="n"/>
      <c r="C66" s="18" t="n"/>
      <c r="D66" s="18" t="n"/>
      <c r="E66" s="19" t="n"/>
      <c r="F66" s="19" t="n"/>
      <c r="G66" s="20" t="n"/>
      <c r="H66" s="20" t="n"/>
      <c r="I66" s="21">
        <f>IF(OR(D66="",E66=""),"",IF(D66="Securities",IF(G66="N",MIN(E66,IF(F66="",E66,F66)),E66),E66))</f>
        <v/>
      </c>
      <c r="J66" s="22">
        <f>IF(E66="","",TRIM(IF(AND(E66&gt;=250,H66&lt;&gt;"Y"),"Receipt letter needed. ","")&amp;IF(AND(D66&lt;&gt;"Cash",E66&gt;5000),"Appraisal likely. ","")&amp;IF(AND(D66="Securities",G66="N"),"Short-term: limited to basis. ","")))</f>
        <v/>
      </c>
    </row>
    <row r="67" ht="17" customHeight="1">
      <c r="A67" s="17" t="n"/>
      <c r="B67" s="18" t="n"/>
      <c r="C67" s="18" t="n"/>
      <c r="D67" s="18" t="n"/>
      <c r="E67" s="19" t="n"/>
      <c r="F67" s="19" t="n"/>
      <c r="G67" s="20" t="n"/>
      <c r="H67" s="20" t="n"/>
      <c r="I67" s="21">
        <f>IF(OR(D67="",E67=""),"",IF(D67="Securities",IF(G67="N",MIN(E67,IF(F67="",E67,F67)),E67),E67))</f>
        <v/>
      </c>
      <c r="J67" s="22">
        <f>IF(E67="","",TRIM(IF(AND(E67&gt;=250,H67&lt;&gt;"Y"),"Receipt letter needed. ","")&amp;IF(AND(D67&lt;&gt;"Cash",E67&gt;5000),"Appraisal likely. ","")&amp;IF(AND(D67="Securities",G67="N"),"Short-term: limited to basis. ","")))</f>
        <v/>
      </c>
    </row>
    <row r="68" ht="17" customHeight="1">
      <c r="A68" s="17" t="n"/>
      <c r="B68" s="18" t="n"/>
      <c r="C68" s="18" t="n"/>
      <c r="D68" s="18" t="n"/>
      <c r="E68" s="19" t="n"/>
      <c r="F68" s="19" t="n"/>
      <c r="G68" s="20" t="n"/>
      <c r="H68" s="20" t="n"/>
      <c r="I68" s="21">
        <f>IF(OR(D68="",E68=""),"",IF(D68="Securities",IF(G68="N",MIN(E68,IF(F68="",E68,F68)),E68),E68))</f>
        <v/>
      </c>
      <c r="J68" s="22">
        <f>IF(E68="","",TRIM(IF(AND(E68&gt;=250,H68&lt;&gt;"Y"),"Receipt letter needed. ","")&amp;IF(AND(D68&lt;&gt;"Cash",E68&gt;5000),"Appraisal likely. ","")&amp;IF(AND(D68="Securities",G68="N"),"Short-term: limited to basis. ","")))</f>
        <v/>
      </c>
    </row>
    <row r="69" ht="17" customHeight="1">
      <c r="A69" s="17" t="n"/>
      <c r="B69" s="18" t="n"/>
      <c r="C69" s="18" t="n"/>
      <c r="D69" s="18" t="n"/>
      <c r="E69" s="19" t="n"/>
      <c r="F69" s="19" t="n"/>
      <c r="G69" s="20" t="n"/>
      <c r="H69" s="20" t="n"/>
      <c r="I69" s="21">
        <f>IF(OR(D69="",E69=""),"",IF(D69="Securities",IF(G69="N",MIN(E69,IF(F69="",E69,F69)),E69),E69))</f>
        <v/>
      </c>
      <c r="J69" s="22">
        <f>IF(E69="","",TRIM(IF(AND(E69&gt;=250,H69&lt;&gt;"Y"),"Receipt letter needed. ","")&amp;IF(AND(D69&lt;&gt;"Cash",E69&gt;5000),"Appraisal likely. ","")&amp;IF(AND(D69="Securities",G69="N"),"Short-term: limited to basis. ","")))</f>
        <v/>
      </c>
    </row>
    <row r="70" ht="17" customHeight="1">
      <c r="A70" s="17" t="n"/>
      <c r="B70" s="18" t="n"/>
      <c r="C70" s="18" t="n"/>
      <c r="D70" s="18" t="n"/>
      <c r="E70" s="19" t="n"/>
      <c r="F70" s="19" t="n"/>
      <c r="G70" s="20" t="n"/>
      <c r="H70" s="20" t="n"/>
      <c r="I70" s="21">
        <f>IF(OR(D70="",E70=""),"",IF(D70="Securities",IF(G70="N",MIN(E70,IF(F70="",E70,F70)),E70),E70))</f>
        <v/>
      </c>
      <c r="J70" s="22">
        <f>IF(E70="","",TRIM(IF(AND(E70&gt;=250,H70&lt;&gt;"Y"),"Receipt letter needed. ","")&amp;IF(AND(D70&lt;&gt;"Cash",E70&gt;5000),"Appraisal likely. ","")&amp;IF(AND(D70="Securities",G70="N"),"Short-term: limited to basis. ","")))</f>
        <v/>
      </c>
    </row>
    <row r="71" ht="17" customHeight="1">
      <c r="A71" s="17" t="n"/>
      <c r="B71" s="18" t="n"/>
      <c r="C71" s="18" t="n"/>
      <c r="D71" s="18" t="n"/>
      <c r="E71" s="19" t="n"/>
      <c r="F71" s="19" t="n"/>
      <c r="G71" s="20" t="n"/>
      <c r="H71" s="20" t="n"/>
      <c r="I71" s="21">
        <f>IF(OR(D71="",E71=""),"",IF(D71="Securities",IF(G71="N",MIN(E71,IF(F71="",E71,F71)),E71),E71))</f>
        <v/>
      </c>
      <c r="J71" s="22">
        <f>IF(E71="","",TRIM(IF(AND(E71&gt;=250,H71&lt;&gt;"Y"),"Receipt letter needed. ","")&amp;IF(AND(D71&lt;&gt;"Cash",E71&gt;5000),"Appraisal likely. ","")&amp;IF(AND(D71="Securities",G71="N"),"Short-term: limited to basis. ","")))</f>
        <v/>
      </c>
    </row>
    <row r="72" ht="17" customHeight="1">
      <c r="A72" s="17" t="n"/>
      <c r="B72" s="18" t="n"/>
      <c r="C72" s="18" t="n"/>
      <c r="D72" s="18" t="n"/>
      <c r="E72" s="19" t="n"/>
      <c r="F72" s="19" t="n"/>
      <c r="G72" s="20" t="n"/>
      <c r="H72" s="20" t="n"/>
      <c r="I72" s="21">
        <f>IF(OR(D72="",E72=""),"",IF(D72="Securities",IF(G72="N",MIN(E72,IF(F72="",E72,F72)),E72),E72))</f>
        <v/>
      </c>
      <c r="J72" s="22">
        <f>IF(E72="","",TRIM(IF(AND(E72&gt;=250,H72&lt;&gt;"Y"),"Receipt letter needed. ","")&amp;IF(AND(D72&lt;&gt;"Cash",E72&gt;5000),"Appraisal likely. ","")&amp;IF(AND(D72="Securities",G72="N"),"Short-term: limited to basis. ","")))</f>
        <v/>
      </c>
    </row>
    <row r="73" ht="17" customHeight="1">
      <c r="A73" s="17" t="n"/>
      <c r="B73" s="18" t="n"/>
      <c r="C73" s="18" t="n"/>
      <c r="D73" s="18" t="n"/>
      <c r="E73" s="19" t="n"/>
      <c r="F73" s="19" t="n"/>
      <c r="G73" s="20" t="n"/>
      <c r="H73" s="20" t="n"/>
      <c r="I73" s="21">
        <f>IF(OR(D73="",E73=""),"",IF(D73="Securities",IF(G73="N",MIN(E73,IF(F73="",E73,F73)),E73),E73))</f>
        <v/>
      </c>
      <c r="J73" s="22">
        <f>IF(E73="","",TRIM(IF(AND(E73&gt;=250,H73&lt;&gt;"Y"),"Receipt letter needed. ","")&amp;IF(AND(D73&lt;&gt;"Cash",E73&gt;5000),"Appraisal likely. ","")&amp;IF(AND(D73="Securities",G73="N"),"Short-term: limited to basis. ","")))</f>
        <v/>
      </c>
    </row>
    <row r="74" ht="17" customHeight="1">
      <c r="A74" s="17" t="n"/>
      <c r="B74" s="18" t="n"/>
      <c r="C74" s="18" t="n"/>
      <c r="D74" s="18" t="n"/>
      <c r="E74" s="19" t="n"/>
      <c r="F74" s="19" t="n"/>
      <c r="G74" s="20" t="n"/>
      <c r="H74" s="20" t="n"/>
      <c r="I74" s="21">
        <f>IF(OR(D74="",E74=""),"",IF(D74="Securities",IF(G74="N",MIN(E74,IF(F74="",E74,F74)),E74),E74))</f>
        <v/>
      </c>
      <c r="J74" s="22">
        <f>IF(E74="","",TRIM(IF(AND(E74&gt;=250,H74&lt;&gt;"Y"),"Receipt letter needed. ","")&amp;IF(AND(D74&lt;&gt;"Cash",E74&gt;5000),"Appraisal likely. ","")&amp;IF(AND(D74="Securities",G74="N"),"Short-term: limited to basis. ","")))</f>
        <v/>
      </c>
    </row>
    <row r="75" ht="17" customHeight="1">
      <c r="A75" s="17" t="n"/>
      <c r="B75" s="18" t="n"/>
      <c r="C75" s="18" t="n"/>
      <c r="D75" s="18" t="n"/>
      <c r="E75" s="19" t="n"/>
      <c r="F75" s="19" t="n"/>
      <c r="G75" s="20" t="n"/>
      <c r="H75" s="20" t="n"/>
      <c r="I75" s="21">
        <f>IF(OR(D75="",E75=""),"",IF(D75="Securities",IF(G75="N",MIN(E75,IF(F75="",E75,F75)),E75),E75))</f>
        <v/>
      </c>
      <c r="J75" s="22">
        <f>IF(E75="","",TRIM(IF(AND(E75&gt;=250,H75&lt;&gt;"Y"),"Receipt letter needed. ","")&amp;IF(AND(D75&lt;&gt;"Cash",E75&gt;5000),"Appraisal likely. ","")&amp;IF(AND(D75="Securities",G75="N"),"Short-term: limited to basis. ","")))</f>
        <v/>
      </c>
    </row>
    <row r="76" ht="17" customHeight="1">
      <c r="A76" s="17" t="n"/>
      <c r="B76" s="18" t="n"/>
      <c r="C76" s="18" t="n"/>
      <c r="D76" s="18" t="n"/>
      <c r="E76" s="19" t="n"/>
      <c r="F76" s="19" t="n"/>
      <c r="G76" s="20" t="n"/>
      <c r="H76" s="20" t="n"/>
      <c r="I76" s="21">
        <f>IF(OR(D76="",E76=""),"",IF(D76="Securities",IF(G76="N",MIN(E76,IF(F76="",E76,F76)),E76),E76))</f>
        <v/>
      </c>
      <c r="J76" s="22">
        <f>IF(E76="","",TRIM(IF(AND(E76&gt;=250,H76&lt;&gt;"Y"),"Receipt letter needed. ","")&amp;IF(AND(D76&lt;&gt;"Cash",E76&gt;5000),"Appraisal likely. ","")&amp;IF(AND(D76="Securities",G76="N"),"Short-term: limited to basis. ","")))</f>
        <v/>
      </c>
    </row>
    <row r="77" ht="17" customHeight="1">
      <c r="A77" s="17" t="n"/>
      <c r="B77" s="18" t="n"/>
      <c r="C77" s="18" t="n"/>
      <c r="D77" s="18" t="n"/>
      <c r="E77" s="19" t="n"/>
      <c r="F77" s="19" t="n"/>
      <c r="G77" s="20" t="n"/>
      <c r="H77" s="20" t="n"/>
      <c r="I77" s="21">
        <f>IF(OR(D77="",E77=""),"",IF(D77="Securities",IF(G77="N",MIN(E77,IF(F77="",E77,F77)),E77),E77))</f>
        <v/>
      </c>
      <c r="J77" s="22">
        <f>IF(E77="","",TRIM(IF(AND(E77&gt;=250,H77&lt;&gt;"Y"),"Receipt letter needed. ","")&amp;IF(AND(D77&lt;&gt;"Cash",E77&gt;5000),"Appraisal likely. ","")&amp;IF(AND(D77="Securities",G77="N"),"Short-term: limited to basis. ","")))</f>
        <v/>
      </c>
    </row>
    <row r="78" ht="17" customHeight="1">
      <c r="A78" s="17" t="n"/>
      <c r="B78" s="18" t="n"/>
      <c r="C78" s="18" t="n"/>
      <c r="D78" s="18" t="n"/>
      <c r="E78" s="19" t="n"/>
      <c r="F78" s="19" t="n"/>
      <c r="G78" s="20" t="n"/>
      <c r="H78" s="20" t="n"/>
      <c r="I78" s="21">
        <f>IF(OR(D78="",E78=""),"",IF(D78="Securities",IF(G78="N",MIN(E78,IF(F78="",E78,F78)),E78),E78))</f>
        <v/>
      </c>
      <c r="J78" s="22">
        <f>IF(E78="","",TRIM(IF(AND(E78&gt;=250,H78&lt;&gt;"Y"),"Receipt letter needed. ","")&amp;IF(AND(D78&lt;&gt;"Cash",E78&gt;5000),"Appraisal likely. ","")&amp;IF(AND(D78="Securities",G78="N"),"Short-term: limited to basis. ","")))</f>
        <v/>
      </c>
    </row>
    <row r="79" ht="17" customHeight="1">
      <c r="A79" s="17" t="n"/>
      <c r="B79" s="18" t="n"/>
      <c r="C79" s="18" t="n"/>
      <c r="D79" s="18" t="n"/>
      <c r="E79" s="19" t="n"/>
      <c r="F79" s="19" t="n"/>
      <c r="G79" s="20" t="n"/>
      <c r="H79" s="20" t="n"/>
      <c r="I79" s="21">
        <f>IF(OR(D79="",E79=""),"",IF(D79="Securities",IF(G79="N",MIN(E79,IF(F79="",E79,F79)),E79),E79))</f>
        <v/>
      </c>
      <c r="J79" s="22">
        <f>IF(E79="","",TRIM(IF(AND(E79&gt;=250,H79&lt;&gt;"Y"),"Receipt letter needed. ","")&amp;IF(AND(D79&lt;&gt;"Cash",E79&gt;5000),"Appraisal likely. ","")&amp;IF(AND(D79="Securities",G79="N"),"Short-term: limited to basis. ","")))</f>
        <v/>
      </c>
    </row>
    <row r="80" ht="17" customHeight="1">
      <c r="A80" s="17" t="n"/>
      <c r="B80" s="18" t="n"/>
      <c r="C80" s="18" t="n"/>
      <c r="D80" s="18" t="n"/>
      <c r="E80" s="19" t="n"/>
      <c r="F80" s="19" t="n"/>
      <c r="G80" s="20" t="n"/>
      <c r="H80" s="20" t="n"/>
      <c r="I80" s="21">
        <f>IF(OR(D80="",E80=""),"",IF(D80="Securities",IF(G80="N",MIN(E80,IF(F80="",E80,F80)),E80),E80))</f>
        <v/>
      </c>
      <c r="J80" s="22">
        <f>IF(E80="","",TRIM(IF(AND(E80&gt;=250,H80&lt;&gt;"Y"),"Receipt letter needed. ","")&amp;IF(AND(D80&lt;&gt;"Cash",E80&gt;5000),"Appraisal likely. ","")&amp;IF(AND(D80="Securities",G80="N"),"Short-term: limited to basis. ","")))</f>
        <v/>
      </c>
    </row>
    <row r="81" ht="17" customHeight="1">
      <c r="A81" s="17" t="n"/>
      <c r="B81" s="18" t="n"/>
      <c r="C81" s="18" t="n"/>
      <c r="D81" s="18" t="n"/>
      <c r="E81" s="19" t="n"/>
      <c r="F81" s="19" t="n"/>
      <c r="G81" s="20" t="n"/>
      <c r="H81" s="20" t="n"/>
      <c r="I81" s="21">
        <f>IF(OR(D81="",E81=""),"",IF(D81="Securities",IF(G81="N",MIN(E81,IF(F81="",E81,F81)),E81),E81))</f>
        <v/>
      </c>
      <c r="J81" s="22">
        <f>IF(E81="","",TRIM(IF(AND(E81&gt;=250,H81&lt;&gt;"Y"),"Receipt letter needed. ","")&amp;IF(AND(D81&lt;&gt;"Cash",E81&gt;5000),"Appraisal likely. ","")&amp;IF(AND(D81="Securities",G81="N"),"Short-term: limited to basis. ","")))</f>
        <v/>
      </c>
    </row>
    <row r="82" ht="17" customHeight="1">
      <c r="A82" s="17" t="n"/>
      <c r="B82" s="18" t="n"/>
      <c r="C82" s="18" t="n"/>
      <c r="D82" s="18" t="n"/>
      <c r="E82" s="19" t="n"/>
      <c r="F82" s="19" t="n"/>
      <c r="G82" s="20" t="n"/>
      <c r="H82" s="20" t="n"/>
      <c r="I82" s="21">
        <f>IF(OR(D82="",E82=""),"",IF(D82="Securities",IF(G82="N",MIN(E82,IF(F82="",E82,F82)),E82),E82))</f>
        <v/>
      </c>
      <c r="J82" s="22">
        <f>IF(E82="","",TRIM(IF(AND(E82&gt;=250,H82&lt;&gt;"Y"),"Receipt letter needed. ","")&amp;IF(AND(D82&lt;&gt;"Cash",E82&gt;5000),"Appraisal likely. ","")&amp;IF(AND(D82="Securities",G82="N"),"Short-term: limited to basis. ","")))</f>
        <v/>
      </c>
    </row>
    <row r="83" ht="17" customHeight="1">
      <c r="A83" s="17" t="n"/>
      <c r="B83" s="18" t="n"/>
      <c r="C83" s="18" t="n"/>
      <c r="D83" s="18" t="n"/>
      <c r="E83" s="19" t="n"/>
      <c r="F83" s="19" t="n"/>
      <c r="G83" s="20" t="n"/>
      <c r="H83" s="20" t="n"/>
      <c r="I83" s="21">
        <f>IF(OR(D83="",E83=""),"",IF(D83="Securities",IF(G83="N",MIN(E83,IF(F83="",E83,F83)),E83),E83))</f>
        <v/>
      </c>
      <c r="J83" s="22">
        <f>IF(E83="","",TRIM(IF(AND(E83&gt;=250,H83&lt;&gt;"Y"),"Receipt letter needed. ","")&amp;IF(AND(D83&lt;&gt;"Cash",E83&gt;5000),"Appraisal likely. ","")&amp;IF(AND(D83="Securities",G83="N"),"Short-term: limited to basis. ","")))</f>
        <v/>
      </c>
    </row>
    <row r="84" ht="17" customHeight="1">
      <c r="A84" s="17" t="n"/>
      <c r="B84" s="18" t="n"/>
      <c r="C84" s="18" t="n"/>
      <c r="D84" s="18" t="n"/>
      <c r="E84" s="19" t="n"/>
      <c r="F84" s="19" t="n"/>
      <c r="G84" s="20" t="n"/>
      <c r="H84" s="20" t="n"/>
      <c r="I84" s="21">
        <f>IF(OR(D84="",E84=""),"",IF(D84="Securities",IF(G84="N",MIN(E84,IF(F84="",E84,F84)),E84),E84))</f>
        <v/>
      </c>
      <c r="J84" s="22">
        <f>IF(E84="","",TRIM(IF(AND(E84&gt;=250,H84&lt;&gt;"Y"),"Receipt letter needed. ","")&amp;IF(AND(D84&lt;&gt;"Cash",E84&gt;5000),"Appraisal likely. ","")&amp;IF(AND(D84="Securities",G84="N"),"Short-term: limited to basis. ","")))</f>
        <v/>
      </c>
    </row>
    <row r="85" ht="17" customHeight="1">
      <c r="A85" s="17" t="n"/>
      <c r="B85" s="18" t="n"/>
      <c r="C85" s="18" t="n"/>
      <c r="D85" s="18" t="n"/>
      <c r="E85" s="19" t="n"/>
      <c r="F85" s="19" t="n"/>
      <c r="G85" s="20" t="n"/>
      <c r="H85" s="20" t="n"/>
      <c r="I85" s="21">
        <f>IF(OR(D85="",E85=""),"",IF(D85="Securities",IF(G85="N",MIN(E85,IF(F85="",E85,F85)),E85),E85))</f>
        <v/>
      </c>
      <c r="J85" s="22">
        <f>IF(E85="","",TRIM(IF(AND(E85&gt;=250,H85&lt;&gt;"Y"),"Receipt letter needed. ","")&amp;IF(AND(D85&lt;&gt;"Cash",E85&gt;5000),"Appraisal likely. ","")&amp;IF(AND(D85="Securities",G85="N"),"Short-term: limited to basis. ","")))</f>
        <v/>
      </c>
    </row>
    <row r="86" ht="17" customHeight="1">
      <c r="A86" s="17" t="n"/>
      <c r="B86" s="18" t="n"/>
      <c r="C86" s="18" t="n"/>
      <c r="D86" s="18" t="n"/>
      <c r="E86" s="19" t="n"/>
      <c r="F86" s="19" t="n"/>
      <c r="G86" s="20" t="n"/>
      <c r="H86" s="20" t="n"/>
      <c r="I86" s="21">
        <f>IF(OR(D86="",E86=""),"",IF(D86="Securities",IF(G86="N",MIN(E86,IF(F86="",E86,F86)),E86),E86))</f>
        <v/>
      </c>
      <c r="J86" s="22">
        <f>IF(E86="","",TRIM(IF(AND(E86&gt;=250,H86&lt;&gt;"Y"),"Receipt letter needed. ","")&amp;IF(AND(D86&lt;&gt;"Cash",E86&gt;5000),"Appraisal likely. ","")&amp;IF(AND(D86="Securities",G86="N"),"Short-term: limited to basis. ","")))</f>
        <v/>
      </c>
    </row>
    <row r="87" ht="17" customHeight="1">
      <c r="A87" s="17" t="n"/>
      <c r="B87" s="18" t="n"/>
      <c r="C87" s="18" t="n"/>
      <c r="D87" s="18" t="n"/>
      <c r="E87" s="19" t="n"/>
      <c r="F87" s="19" t="n"/>
      <c r="G87" s="20" t="n"/>
      <c r="H87" s="20" t="n"/>
      <c r="I87" s="21">
        <f>IF(OR(D87="",E87=""),"",IF(D87="Securities",IF(G87="N",MIN(E87,IF(F87="",E87,F87)),E87),E87))</f>
        <v/>
      </c>
      <c r="J87" s="22">
        <f>IF(E87="","",TRIM(IF(AND(E87&gt;=250,H87&lt;&gt;"Y"),"Receipt letter needed. ","")&amp;IF(AND(D87&lt;&gt;"Cash",E87&gt;5000),"Appraisal likely. ","")&amp;IF(AND(D87="Securities",G87="N"),"Short-term: limited to basis. ","")))</f>
        <v/>
      </c>
    </row>
    <row r="88" ht="17" customHeight="1">
      <c r="A88" s="17" t="n"/>
      <c r="B88" s="18" t="n"/>
      <c r="C88" s="18" t="n"/>
      <c r="D88" s="18" t="n"/>
      <c r="E88" s="19" t="n"/>
      <c r="F88" s="19" t="n"/>
      <c r="G88" s="20" t="n"/>
      <c r="H88" s="20" t="n"/>
      <c r="I88" s="21">
        <f>IF(OR(D88="",E88=""),"",IF(D88="Securities",IF(G88="N",MIN(E88,IF(F88="",E88,F88)),E88),E88))</f>
        <v/>
      </c>
      <c r="J88" s="22">
        <f>IF(E88="","",TRIM(IF(AND(E88&gt;=250,H88&lt;&gt;"Y"),"Receipt letter needed. ","")&amp;IF(AND(D88&lt;&gt;"Cash",E88&gt;5000),"Appraisal likely. ","")&amp;IF(AND(D88="Securities",G88="N"),"Short-term: limited to basis. ","")))</f>
        <v/>
      </c>
    </row>
    <row r="89" ht="17" customHeight="1">
      <c r="A89" s="17" t="n"/>
      <c r="B89" s="18" t="n"/>
      <c r="C89" s="18" t="n"/>
      <c r="D89" s="18" t="n"/>
      <c r="E89" s="19" t="n"/>
      <c r="F89" s="19" t="n"/>
      <c r="G89" s="20" t="n"/>
      <c r="H89" s="20" t="n"/>
      <c r="I89" s="21">
        <f>IF(OR(D89="",E89=""),"",IF(D89="Securities",IF(G89="N",MIN(E89,IF(F89="",E89,F89)),E89),E89))</f>
        <v/>
      </c>
      <c r="J89" s="22">
        <f>IF(E89="","",TRIM(IF(AND(E89&gt;=250,H89&lt;&gt;"Y"),"Receipt letter needed. ","")&amp;IF(AND(D89&lt;&gt;"Cash",E89&gt;5000),"Appraisal likely. ","")&amp;IF(AND(D89="Securities",G89="N"),"Short-term: limited to basis. ","")))</f>
        <v/>
      </c>
    </row>
    <row r="90" ht="17" customHeight="1">
      <c r="A90" s="17" t="n"/>
      <c r="B90" s="18" t="n"/>
      <c r="C90" s="18" t="n"/>
      <c r="D90" s="18" t="n"/>
      <c r="E90" s="19" t="n"/>
      <c r="F90" s="19" t="n"/>
      <c r="G90" s="20" t="n"/>
      <c r="H90" s="20" t="n"/>
      <c r="I90" s="21">
        <f>IF(OR(D90="",E90=""),"",IF(D90="Securities",IF(G90="N",MIN(E90,IF(F90="",E90,F90)),E90),E90))</f>
        <v/>
      </c>
      <c r="J90" s="22">
        <f>IF(E90="","",TRIM(IF(AND(E90&gt;=250,H90&lt;&gt;"Y"),"Receipt letter needed. ","")&amp;IF(AND(D90&lt;&gt;"Cash",E90&gt;5000),"Appraisal likely. ","")&amp;IF(AND(D90="Securities",G90="N"),"Short-term: limited to basis. ","")))</f>
        <v/>
      </c>
    </row>
    <row r="91" ht="17" customHeight="1">
      <c r="A91" s="17" t="n"/>
      <c r="B91" s="18" t="n"/>
      <c r="C91" s="18" t="n"/>
      <c r="D91" s="18" t="n"/>
      <c r="E91" s="19" t="n"/>
      <c r="F91" s="19" t="n"/>
      <c r="G91" s="20" t="n"/>
      <c r="H91" s="20" t="n"/>
      <c r="I91" s="21">
        <f>IF(OR(D91="",E91=""),"",IF(D91="Securities",IF(G91="N",MIN(E91,IF(F91="",E91,F91)),E91),E91))</f>
        <v/>
      </c>
      <c r="J91" s="22">
        <f>IF(E91="","",TRIM(IF(AND(E91&gt;=250,H91&lt;&gt;"Y"),"Receipt letter needed. ","")&amp;IF(AND(D91&lt;&gt;"Cash",E91&gt;5000),"Appraisal likely. ","")&amp;IF(AND(D91="Securities",G91="N"),"Short-term: limited to basis. ","")))</f>
        <v/>
      </c>
    </row>
    <row r="92" ht="17" customHeight="1">
      <c r="A92" s="17" t="n"/>
      <c r="B92" s="18" t="n"/>
      <c r="C92" s="18" t="n"/>
      <c r="D92" s="18" t="n"/>
      <c r="E92" s="19" t="n"/>
      <c r="F92" s="19" t="n"/>
      <c r="G92" s="20" t="n"/>
      <c r="H92" s="20" t="n"/>
      <c r="I92" s="21">
        <f>IF(OR(D92="",E92=""),"",IF(D92="Securities",IF(G92="N",MIN(E92,IF(F92="",E92,F92)),E92),E92))</f>
        <v/>
      </c>
      <c r="J92" s="22">
        <f>IF(E92="","",TRIM(IF(AND(E92&gt;=250,H92&lt;&gt;"Y"),"Receipt letter needed. ","")&amp;IF(AND(D92&lt;&gt;"Cash",E92&gt;5000),"Appraisal likely. ","")&amp;IF(AND(D92="Securities",G92="N"),"Short-term: limited to basis. ","")))</f>
        <v/>
      </c>
    </row>
    <row r="93" ht="17" customHeight="1">
      <c r="A93" s="17" t="n"/>
      <c r="B93" s="18" t="n"/>
      <c r="C93" s="18" t="n"/>
      <c r="D93" s="18" t="n"/>
      <c r="E93" s="19" t="n"/>
      <c r="F93" s="19" t="n"/>
      <c r="G93" s="20" t="n"/>
      <c r="H93" s="20" t="n"/>
      <c r="I93" s="21">
        <f>IF(OR(D93="",E93=""),"",IF(D93="Securities",IF(G93="N",MIN(E93,IF(F93="",E93,F93)),E93),E93))</f>
        <v/>
      </c>
      <c r="J93" s="22">
        <f>IF(E93="","",TRIM(IF(AND(E93&gt;=250,H93&lt;&gt;"Y"),"Receipt letter needed. ","")&amp;IF(AND(D93&lt;&gt;"Cash",E93&gt;5000),"Appraisal likely. ","")&amp;IF(AND(D93="Securities",G93="N"),"Short-term: limited to basis. ","")))</f>
        <v/>
      </c>
    </row>
    <row r="94" ht="17" customHeight="1">
      <c r="A94" s="17" t="n"/>
      <c r="B94" s="18" t="n"/>
      <c r="C94" s="18" t="n"/>
      <c r="D94" s="18" t="n"/>
      <c r="E94" s="19" t="n"/>
      <c r="F94" s="19" t="n"/>
      <c r="G94" s="20" t="n"/>
      <c r="H94" s="20" t="n"/>
      <c r="I94" s="21">
        <f>IF(OR(D94="",E94=""),"",IF(D94="Securities",IF(G94="N",MIN(E94,IF(F94="",E94,F94)),E94),E94))</f>
        <v/>
      </c>
      <c r="J94" s="22">
        <f>IF(E94="","",TRIM(IF(AND(E94&gt;=250,H94&lt;&gt;"Y"),"Receipt letter needed. ","")&amp;IF(AND(D94&lt;&gt;"Cash",E94&gt;5000),"Appraisal likely. ","")&amp;IF(AND(D94="Securities",G94="N"),"Short-term: limited to basis. ","")))</f>
        <v/>
      </c>
    </row>
    <row r="95" ht="17" customHeight="1">
      <c r="A95" s="17" t="n"/>
      <c r="B95" s="18" t="n"/>
      <c r="C95" s="18" t="n"/>
      <c r="D95" s="18" t="n"/>
      <c r="E95" s="19" t="n"/>
      <c r="F95" s="19" t="n"/>
      <c r="G95" s="20" t="n"/>
      <c r="H95" s="20" t="n"/>
      <c r="I95" s="21">
        <f>IF(OR(D95="",E95=""),"",IF(D95="Securities",IF(G95="N",MIN(E95,IF(F95="",E95,F95)),E95),E95))</f>
        <v/>
      </c>
      <c r="J95" s="22">
        <f>IF(E95="","",TRIM(IF(AND(E95&gt;=250,H95&lt;&gt;"Y"),"Receipt letter needed. ","")&amp;IF(AND(D95&lt;&gt;"Cash",E95&gt;5000),"Appraisal likely. ","")&amp;IF(AND(D95="Securities",G95="N"),"Short-term: limited to basis. ","")))</f>
        <v/>
      </c>
    </row>
    <row r="96" ht="17" customHeight="1">
      <c r="A96" s="17" t="n"/>
      <c r="B96" s="18" t="n"/>
      <c r="C96" s="18" t="n"/>
      <c r="D96" s="18" t="n"/>
      <c r="E96" s="19" t="n"/>
      <c r="F96" s="19" t="n"/>
      <c r="G96" s="20" t="n"/>
      <c r="H96" s="20" t="n"/>
      <c r="I96" s="21">
        <f>IF(OR(D96="",E96=""),"",IF(D96="Securities",IF(G96="N",MIN(E96,IF(F96="",E96,F96)),E96),E96))</f>
        <v/>
      </c>
      <c r="J96" s="22">
        <f>IF(E96="","",TRIM(IF(AND(E96&gt;=250,H96&lt;&gt;"Y"),"Receipt letter needed. ","")&amp;IF(AND(D96&lt;&gt;"Cash",E96&gt;5000),"Appraisal likely. ","")&amp;IF(AND(D96="Securities",G96="N"),"Short-term: limited to basis. ","")))</f>
        <v/>
      </c>
    </row>
    <row r="97" ht="17" customHeight="1">
      <c r="A97" s="17" t="n"/>
      <c r="B97" s="18" t="n"/>
      <c r="C97" s="18" t="n"/>
      <c r="D97" s="18" t="n"/>
      <c r="E97" s="19" t="n"/>
      <c r="F97" s="19" t="n"/>
      <c r="G97" s="20" t="n"/>
      <c r="H97" s="20" t="n"/>
      <c r="I97" s="21">
        <f>IF(OR(D97="",E97=""),"",IF(D97="Securities",IF(G97="N",MIN(E97,IF(F97="",E97,F97)),E97),E97))</f>
        <v/>
      </c>
      <c r="J97" s="22">
        <f>IF(E97="","",TRIM(IF(AND(E97&gt;=250,H97&lt;&gt;"Y"),"Receipt letter needed. ","")&amp;IF(AND(D97&lt;&gt;"Cash",E97&gt;5000),"Appraisal likely. ","")&amp;IF(AND(D97="Securities",G97="N"),"Short-term: limited to basis. ","")))</f>
        <v/>
      </c>
    </row>
    <row r="98" ht="17" customHeight="1">
      <c r="A98" s="17" t="n"/>
      <c r="B98" s="18" t="n"/>
      <c r="C98" s="18" t="n"/>
      <c r="D98" s="18" t="n"/>
      <c r="E98" s="19" t="n"/>
      <c r="F98" s="19" t="n"/>
      <c r="G98" s="20" t="n"/>
      <c r="H98" s="20" t="n"/>
      <c r="I98" s="21">
        <f>IF(OR(D98="",E98=""),"",IF(D98="Securities",IF(G98="N",MIN(E98,IF(F98="",E98,F98)),E98),E98))</f>
        <v/>
      </c>
      <c r="J98" s="22">
        <f>IF(E98="","",TRIM(IF(AND(E98&gt;=250,H98&lt;&gt;"Y"),"Receipt letter needed. ","")&amp;IF(AND(D98&lt;&gt;"Cash",E98&gt;5000),"Appraisal likely. ","")&amp;IF(AND(D98="Securities",G98="N"),"Short-term: limited to basis. ","")))</f>
        <v/>
      </c>
    </row>
    <row r="99" ht="17" customHeight="1">
      <c r="A99" s="17" t="n"/>
      <c r="B99" s="18" t="n"/>
      <c r="C99" s="18" t="n"/>
      <c r="D99" s="18" t="n"/>
      <c r="E99" s="19" t="n"/>
      <c r="F99" s="19" t="n"/>
      <c r="G99" s="20" t="n"/>
      <c r="H99" s="20" t="n"/>
      <c r="I99" s="21">
        <f>IF(OR(D99="",E99=""),"",IF(D99="Securities",IF(G99="N",MIN(E99,IF(F99="",E99,F99)),E99),E99))</f>
        <v/>
      </c>
      <c r="J99" s="22">
        <f>IF(E99="","",TRIM(IF(AND(E99&gt;=250,H99&lt;&gt;"Y"),"Receipt letter needed. ","")&amp;IF(AND(D99&lt;&gt;"Cash",E99&gt;5000),"Appraisal likely. ","")&amp;IF(AND(D99="Securities",G99="N"),"Short-term: limited to basis. ","")))</f>
        <v/>
      </c>
    </row>
    <row r="100" ht="17" customHeight="1">
      <c r="A100" s="17" t="n"/>
      <c r="B100" s="18" t="n"/>
      <c r="C100" s="18" t="n"/>
      <c r="D100" s="18" t="n"/>
      <c r="E100" s="19" t="n"/>
      <c r="F100" s="19" t="n"/>
      <c r="G100" s="20" t="n"/>
      <c r="H100" s="20" t="n"/>
      <c r="I100" s="21">
        <f>IF(OR(D100="",E100=""),"",IF(D100="Securities",IF(G100="N",MIN(E100,IF(F100="",E100,F100)),E100),E100))</f>
        <v/>
      </c>
      <c r="J100" s="22">
        <f>IF(E100="","",TRIM(IF(AND(E100&gt;=250,H100&lt;&gt;"Y"),"Receipt letter needed. ","")&amp;IF(AND(D100&lt;&gt;"Cash",E100&gt;5000),"Appraisal likely. ","")&amp;IF(AND(D100="Securities",G100="N"),"Short-term: limited to basis. ","")))</f>
        <v/>
      </c>
    </row>
    <row r="101" ht="17" customHeight="1">
      <c r="A101" s="17" t="n"/>
      <c r="B101" s="18" t="n"/>
      <c r="C101" s="18" t="n"/>
      <c r="D101" s="18" t="n"/>
      <c r="E101" s="19" t="n"/>
      <c r="F101" s="19" t="n"/>
      <c r="G101" s="20" t="n"/>
      <c r="H101" s="20" t="n"/>
      <c r="I101" s="21">
        <f>IF(OR(D101="",E101=""),"",IF(D101="Securities",IF(G101="N",MIN(E101,IF(F101="",E101,F101)),E101),E101))</f>
        <v/>
      </c>
      <c r="J101" s="22">
        <f>IF(E101="","",TRIM(IF(AND(E101&gt;=250,H101&lt;&gt;"Y"),"Receipt letter needed. ","")&amp;IF(AND(D101&lt;&gt;"Cash",E101&gt;5000),"Appraisal likely. ","")&amp;IF(AND(D101="Securities",G101="N"),"Short-term: limited to basis. ","")))</f>
        <v/>
      </c>
    </row>
    <row r="102" ht="17" customHeight="1">
      <c r="A102" s="17" t="n"/>
      <c r="B102" s="18" t="n"/>
      <c r="C102" s="18" t="n"/>
      <c r="D102" s="18" t="n"/>
      <c r="E102" s="19" t="n"/>
      <c r="F102" s="19" t="n"/>
      <c r="G102" s="20" t="n"/>
      <c r="H102" s="20" t="n"/>
      <c r="I102" s="21">
        <f>IF(OR(D102="",E102=""),"",IF(D102="Securities",IF(G102="N",MIN(E102,IF(F102="",E102,F102)),E102),E102))</f>
        <v/>
      </c>
      <c r="J102" s="22">
        <f>IF(E102="","",TRIM(IF(AND(E102&gt;=250,H102&lt;&gt;"Y"),"Receipt letter needed. ","")&amp;IF(AND(D102&lt;&gt;"Cash",E102&gt;5000),"Appraisal likely. ","")&amp;IF(AND(D102="Securities",G102="N"),"Short-term: limited to basis. ","")))</f>
        <v/>
      </c>
    </row>
    <row r="103" ht="17" customHeight="1">
      <c r="A103" s="17" t="n"/>
      <c r="B103" s="18" t="n"/>
      <c r="C103" s="18" t="n"/>
      <c r="D103" s="18" t="n"/>
      <c r="E103" s="19" t="n"/>
      <c r="F103" s="19" t="n"/>
      <c r="G103" s="20" t="n"/>
      <c r="H103" s="20" t="n"/>
      <c r="I103" s="21">
        <f>IF(OR(D103="",E103=""),"",IF(D103="Securities",IF(G103="N",MIN(E103,IF(F103="",E103,F103)),E103),E103))</f>
        <v/>
      </c>
      <c r="J103" s="22">
        <f>IF(E103="","",TRIM(IF(AND(E103&gt;=250,H103&lt;&gt;"Y"),"Receipt letter needed. ","")&amp;IF(AND(D103&lt;&gt;"Cash",E103&gt;5000),"Appraisal likely. ","")&amp;IF(AND(D103="Securities",G103="N"),"Short-term: limited to basis. ","")))</f>
        <v/>
      </c>
    </row>
    <row r="104" ht="17" customHeight="1">
      <c r="A104" s="17" t="n"/>
      <c r="B104" s="18" t="n"/>
      <c r="C104" s="18" t="n"/>
      <c r="D104" s="18" t="n"/>
      <c r="E104" s="19" t="n"/>
      <c r="F104" s="19" t="n"/>
      <c r="G104" s="20" t="n"/>
      <c r="H104" s="20" t="n"/>
      <c r="I104" s="21">
        <f>IF(OR(D104="",E104=""),"",IF(D104="Securities",IF(G104="N",MIN(E104,IF(F104="",E104,F104)),E104),E104))</f>
        <v/>
      </c>
      <c r="J104" s="22">
        <f>IF(E104="","",TRIM(IF(AND(E104&gt;=250,H104&lt;&gt;"Y"),"Receipt letter needed. ","")&amp;IF(AND(D104&lt;&gt;"Cash",E104&gt;5000),"Appraisal likely. ","")&amp;IF(AND(D104="Securities",G104="N"),"Short-term: limited to basis. ","")))</f>
        <v/>
      </c>
    </row>
    <row r="105" ht="17" customHeight="1">
      <c r="A105" s="17" t="n"/>
      <c r="B105" s="18" t="n"/>
      <c r="C105" s="18" t="n"/>
      <c r="D105" s="18" t="n"/>
      <c r="E105" s="19" t="n"/>
      <c r="F105" s="19" t="n"/>
      <c r="G105" s="20" t="n"/>
      <c r="H105" s="20" t="n"/>
      <c r="I105" s="21">
        <f>IF(OR(D105="",E105=""),"",IF(D105="Securities",IF(G105="N",MIN(E105,IF(F105="",E105,F105)),E105),E105))</f>
        <v/>
      </c>
      <c r="J105" s="22">
        <f>IF(E105="","",TRIM(IF(AND(E105&gt;=250,H105&lt;&gt;"Y"),"Receipt letter needed. ","")&amp;IF(AND(D105&lt;&gt;"Cash",E105&gt;5000),"Appraisal likely. ","")&amp;IF(AND(D105="Securities",G105="N"),"Short-term: limited to basis. ","")))</f>
        <v/>
      </c>
    </row>
    <row r="106" ht="17" customHeight="1">
      <c r="A106" s="17" t="n"/>
      <c r="B106" s="18" t="n"/>
      <c r="C106" s="18" t="n"/>
      <c r="D106" s="18" t="n"/>
      <c r="E106" s="19" t="n"/>
      <c r="F106" s="19" t="n"/>
      <c r="G106" s="20" t="n"/>
      <c r="H106" s="20" t="n"/>
      <c r="I106" s="21">
        <f>IF(OR(D106="",E106=""),"",IF(D106="Securities",IF(G106="N",MIN(E106,IF(F106="",E106,F106)),E106),E106))</f>
        <v/>
      </c>
      <c r="J106" s="22">
        <f>IF(E106="","",TRIM(IF(AND(E106&gt;=250,H106&lt;&gt;"Y"),"Receipt letter needed. ","")&amp;IF(AND(D106&lt;&gt;"Cash",E106&gt;5000),"Appraisal likely. ","")&amp;IF(AND(D106="Securities",G106="N"),"Short-term: limited to basis. ","")))</f>
        <v/>
      </c>
    </row>
    <row r="107" ht="17" customHeight="1">
      <c r="A107" s="17" t="n"/>
      <c r="B107" s="18" t="n"/>
      <c r="C107" s="18" t="n"/>
      <c r="D107" s="18" t="n"/>
      <c r="E107" s="19" t="n"/>
      <c r="F107" s="19" t="n"/>
      <c r="G107" s="20" t="n"/>
      <c r="H107" s="20" t="n"/>
      <c r="I107" s="21">
        <f>IF(OR(D107="",E107=""),"",IF(D107="Securities",IF(G107="N",MIN(E107,IF(F107="",E107,F107)),E107),E107))</f>
        <v/>
      </c>
      <c r="J107" s="22">
        <f>IF(E107="","",TRIM(IF(AND(E107&gt;=250,H107&lt;&gt;"Y"),"Receipt letter needed. ","")&amp;IF(AND(D107&lt;&gt;"Cash",E107&gt;5000),"Appraisal likely. ","")&amp;IF(AND(D107="Securities",G107="N"),"Short-term: limited to basis. ","")))</f>
        <v/>
      </c>
    </row>
    <row r="108" ht="17" customHeight="1">
      <c r="A108" s="17" t="n"/>
      <c r="B108" s="18" t="n"/>
      <c r="C108" s="18" t="n"/>
      <c r="D108" s="18" t="n"/>
      <c r="E108" s="19" t="n"/>
      <c r="F108" s="19" t="n"/>
      <c r="G108" s="20" t="n"/>
      <c r="H108" s="20" t="n"/>
      <c r="I108" s="21">
        <f>IF(OR(D108="",E108=""),"",IF(D108="Securities",IF(G108="N",MIN(E108,IF(F108="",E108,F108)),E108),E108))</f>
        <v/>
      </c>
      <c r="J108" s="22">
        <f>IF(E108="","",TRIM(IF(AND(E108&gt;=250,H108&lt;&gt;"Y"),"Receipt letter needed. ","")&amp;IF(AND(D108&lt;&gt;"Cash",E108&gt;5000),"Appraisal likely. ","")&amp;IF(AND(D108="Securities",G108="N"),"Short-term: limited to basis. ","")))</f>
        <v/>
      </c>
    </row>
    <row r="109" ht="17" customHeight="1">
      <c r="A109" s="17" t="n"/>
      <c r="B109" s="18" t="n"/>
      <c r="C109" s="18" t="n"/>
      <c r="D109" s="18" t="n"/>
      <c r="E109" s="19" t="n"/>
      <c r="F109" s="19" t="n"/>
      <c r="G109" s="20" t="n"/>
      <c r="H109" s="20" t="n"/>
      <c r="I109" s="21">
        <f>IF(OR(D109="",E109=""),"",IF(D109="Securities",IF(G109="N",MIN(E109,IF(F109="",E109,F109)),E109),E109))</f>
        <v/>
      </c>
      <c r="J109" s="22">
        <f>IF(E109="","",TRIM(IF(AND(E109&gt;=250,H109&lt;&gt;"Y"),"Receipt letter needed. ","")&amp;IF(AND(D109&lt;&gt;"Cash",E109&gt;5000),"Appraisal likely. ","")&amp;IF(AND(D109="Securities",G109="N"),"Short-term: limited to basis. ","")))</f>
        <v/>
      </c>
    </row>
    <row r="110" ht="17" customHeight="1">
      <c r="A110" s="17" t="n"/>
      <c r="B110" s="18" t="n"/>
      <c r="C110" s="18" t="n"/>
      <c r="D110" s="18" t="n"/>
      <c r="E110" s="19" t="n"/>
      <c r="F110" s="19" t="n"/>
      <c r="G110" s="20" t="n"/>
      <c r="H110" s="20" t="n"/>
      <c r="I110" s="21">
        <f>IF(OR(D110="",E110=""),"",IF(D110="Securities",IF(G110="N",MIN(E110,IF(F110="",E110,F110)),E110),E110))</f>
        <v/>
      </c>
      <c r="J110" s="22">
        <f>IF(E110="","",TRIM(IF(AND(E110&gt;=250,H110&lt;&gt;"Y"),"Receipt letter needed. ","")&amp;IF(AND(D110&lt;&gt;"Cash",E110&gt;5000),"Appraisal likely. ","")&amp;IF(AND(D110="Securities",G110="N"),"Short-term: limited to basis. ","")))</f>
        <v/>
      </c>
    </row>
    <row r="111" ht="17" customHeight="1">
      <c r="A111" s="17" t="n"/>
      <c r="B111" s="18" t="n"/>
      <c r="C111" s="18" t="n"/>
      <c r="D111" s="18" t="n"/>
      <c r="E111" s="19" t="n"/>
      <c r="F111" s="19" t="n"/>
      <c r="G111" s="20" t="n"/>
      <c r="H111" s="20" t="n"/>
      <c r="I111" s="21">
        <f>IF(OR(D111="",E111=""),"",IF(D111="Securities",IF(G111="N",MIN(E111,IF(F111="",E111,F111)),E111),E111))</f>
        <v/>
      </c>
      <c r="J111" s="22">
        <f>IF(E111="","",TRIM(IF(AND(E111&gt;=250,H111&lt;&gt;"Y"),"Receipt letter needed. ","")&amp;IF(AND(D111&lt;&gt;"Cash",E111&gt;5000),"Appraisal likely. ","")&amp;IF(AND(D111="Securities",G111="N"),"Short-term: limited to basis. ","")))</f>
        <v/>
      </c>
    </row>
    <row r="112" ht="17" customHeight="1">
      <c r="A112" s="17" t="n"/>
      <c r="B112" s="18" t="n"/>
      <c r="C112" s="18" t="n"/>
      <c r="D112" s="18" t="n"/>
      <c r="E112" s="19" t="n"/>
      <c r="F112" s="19" t="n"/>
      <c r="G112" s="20" t="n"/>
      <c r="H112" s="20" t="n"/>
      <c r="I112" s="21">
        <f>IF(OR(D112="",E112=""),"",IF(D112="Securities",IF(G112="N",MIN(E112,IF(F112="",E112,F112)),E112),E112))</f>
        <v/>
      </c>
      <c r="J112" s="22">
        <f>IF(E112="","",TRIM(IF(AND(E112&gt;=250,H112&lt;&gt;"Y"),"Receipt letter needed. ","")&amp;IF(AND(D112&lt;&gt;"Cash",E112&gt;5000),"Appraisal likely. ","")&amp;IF(AND(D112="Securities",G112="N"),"Short-term: limited to basis. ","")))</f>
        <v/>
      </c>
    </row>
    <row r="113" ht="17" customHeight="1">
      <c r="A113" s="17" t="n"/>
      <c r="B113" s="18" t="n"/>
      <c r="C113" s="18" t="n"/>
      <c r="D113" s="18" t="n"/>
      <c r="E113" s="19" t="n"/>
      <c r="F113" s="19" t="n"/>
      <c r="G113" s="20" t="n"/>
      <c r="H113" s="20" t="n"/>
      <c r="I113" s="21">
        <f>IF(OR(D113="",E113=""),"",IF(D113="Securities",IF(G113="N",MIN(E113,IF(F113="",E113,F113)),E113),E113))</f>
        <v/>
      </c>
      <c r="J113" s="22">
        <f>IF(E113="","",TRIM(IF(AND(E113&gt;=250,H113&lt;&gt;"Y"),"Receipt letter needed. ","")&amp;IF(AND(D113&lt;&gt;"Cash",E113&gt;5000),"Appraisal likely. ","")&amp;IF(AND(D113="Securities",G113="N"),"Short-term: limited to basis. ","")))</f>
        <v/>
      </c>
    </row>
    <row r="114" ht="17" customHeight="1">
      <c r="A114" s="17" t="n"/>
      <c r="B114" s="18" t="n"/>
      <c r="C114" s="18" t="n"/>
      <c r="D114" s="18" t="n"/>
      <c r="E114" s="19" t="n"/>
      <c r="F114" s="19" t="n"/>
      <c r="G114" s="20" t="n"/>
      <c r="H114" s="20" t="n"/>
      <c r="I114" s="21">
        <f>IF(OR(D114="",E114=""),"",IF(D114="Securities",IF(G114="N",MIN(E114,IF(F114="",E114,F114)),E114),E114))</f>
        <v/>
      </c>
      <c r="J114" s="22">
        <f>IF(E114="","",TRIM(IF(AND(E114&gt;=250,H114&lt;&gt;"Y"),"Receipt letter needed. ","")&amp;IF(AND(D114&lt;&gt;"Cash",E114&gt;5000),"Appraisal likely. ","")&amp;IF(AND(D114="Securities",G114="N"),"Short-term: limited to basis. ","")))</f>
        <v/>
      </c>
    </row>
    <row r="115" ht="17" customHeight="1">
      <c r="A115" s="17" t="n"/>
      <c r="B115" s="18" t="n"/>
      <c r="C115" s="18" t="n"/>
      <c r="D115" s="18" t="n"/>
      <c r="E115" s="19" t="n"/>
      <c r="F115" s="19" t="n"/>
      <c r="G115" s="20" t="n"/>
      <c r="H115" s="20" t="n"/>
      <c r="I115" s="21">
        <f>IF(OR(D115="",E115=""),"",IF(D115="Securities",IF(G115="N",MIN(E115,IF(F115="",E115,F115)),E115),E115))</f>
        <v/>
      </c>
      <c r="J115" s="22">
        <f>IF(E115="","",TRIM(IF(AND(E115&gt;=250,H115&lt;&gt;"Y"),"Receipt letter needed. ","")&amp;IF(AND(D115&lt;&gt;"Cash",E115&gt;5000),"Appraisal likely. ","")&amp;IF(AND(D115="Securities",G115="N"),"Short-term: limited to basis. ","")))</f>
        <v/>
      </c>
    </row>
    <row r="116" ht="17" customHeight="1">
      <c r="A116" s="17" t="n"/>
      <c r="B116" s="18" t="n"/>
      <c r="C116" s="18" t="n"/>
      <c r="D116" s="18" t="n"/>
      <c r="E116" s="19" t="n"/>
      <c r="F116" s="19" t="n"/>
      <c r="G116" s="20" t="n"/>
      <c r="H116" s="20" t="n"/>
      <c r="I116" s="21">
        <f>IF(OR(D116="",E116=""),"",IF(D116="Securities",IF(G116="N",MIN(E116,IF(F116="",E116,F116)),E116),E116))</f>
        <v/>
      </c>
      <c r="J116" s="22">
        <f>IF(E116="","",TRIM(IF(AND(E116&gt;=250,H116&lt;&gt;"Y"),"Receipt letter needed. ","")&amp;IF(AND(D116&lt;&gt;"Cash",E116&gt;5000),"Appraisal likely. ","")&amp;IF(AND(D116="Securities",G116="N"),"Short-term: limited to basis. ","")))</f>
        <v/>
      </c>
    </row>
    <row r="117" ht="17" customHeight="1">
      <c r="A117" s="17" t="n"/>
      <c r="B117" s="18" t="n"/>
      <c r="C117" s="18" t="n"/>
      <c r="D117" s="18" t="n"/>
      <c r="E117" s="19" t="n"/>
      <c r="F117" s="19" t="n"/>
      <c r="G117" s="20" t="n"/>
      <c r="H117" s="20" t="n"/>
      <c r="I117" s="21">
        <f>IF(OR(D117="",E117=""),"",IF(D117="Securities",IF(G117="N",MIN(E117,IF(F117="",E117,F117)),E117),E117))</f>
        <v/>
      </c>
      <c r="J117" s="22">
        <f>IF(E117="","",TRIM(IF(AND(E117&gt;=250,H117&lt;&gt;"Y"),"Receipt letter needed. ","")&amp;IF(AND(D117&lt;&gt;"Cash",E117&gt;5000),"Appraisal likely. ","")&amp;IF(AND(D117="Securities",G117="N"),"Short-term: limited to basis. ","")))</f>
        <v/>
      </c>
    </row>
    <row r="118" ht="17" customHeight="1">
      <c r="A118" s="17" t="n"/>
      <c r="B118" s="18" t="n"/>
      <c r="C118" s="18" t="n"/>
      <c r="D118" s="18" t="n"/>
      <c r="E118" s="19" t="n"/>
      <c r="F118" s="19" t="n"/>
      <c r="G118" s="20" t="n"/>
      <c r="H118" s="20" t="n"/>
      <c r="I118" s="21">
        <f>IF(OR(D118="",E118=""),"",IF(D118="Securities",IF(G118="N",MIN(E118,IF(F118="",E118,F118)),E118),E118))</f>
        <v/>
      </c>
      <c r="J118" s="22">
        <f>IF(E118="","",TRIM(IF(AND(E118&gt;=250,H118&lt;&gt;"Y"),"Receipt letter needed. ","")&amp;IF(AND(D118&lt;&gt;"Cash",E118&gt;5000),"Appraisal likely. ","")&amp;IF(AND(D118="Securities",G118="N"),"Short-term: limited to basis. ","")))</f>
        <v/>
      </c>
    </row>
    <row r="119" ht="17" customHeight="1">
      <c r="A119" s="17" t="n"/>
      <c r="B119" s="18" t="n"/>
      <c r="C119" s="18" t="n"/>
      <c r="D119" s="18" t="n"/>
      <c r="E119" s="19" t="n"/>
      <c r="F119" s="19" t="n"/>
      <c r="G119" s="20" t="n"/>
      <c r="H119" s="20" t="n"/>
      <c r="I119" s="21">
        <f>IF(OR(D119="",E119=""),"",IF(D119="Securities",IF(G119="N",MIN(E119,IF(F119="",E119,F119)),E119),E119))</f>
        <v/>
      </c>
      <c r="J119" s="22">
        <f>IF(E119="","",TRIM(IF(AND(E119&gt;=250,H119&lt;&gt;"Y"),"Receipt letter needed. ","")&amp;IF(AND(D119&lt;&gt;"Cash",E119&gt;5000),"Appraisal likely. ","")&amp;IF(AND(D119="Securities",G119="N"),"Short-term: limited to basis. ","")))</f>
        <v/>
      </c>
    </row>
    <row r="120" ht="17" customHeight="1">
      <c r="A120" s="17" t="n"/>
      <c r="B120" s="18" t="n"/>
      <c r="C120" s="18" t="n"/>
      <c r="D120" s="18" t="n"/>
      <c r="E120" s="19" t="n"/>
      <c r="F120" s="19" t="n"/>
      <c r="G120" s="20" t="n"/>
      <c r="H120" s="20" t="n"/>
      <c r="I120" s="21">
        <f>IF(OR(D120="",E120=""),"",IF(D120="Securities",IF(G120="N",MIN(E120,IF(F120="",E120,F120)),E120),E120))</f>
        <v/>
      </c>
      <c r="J120" s="22">
        <f>IF(E120="","",TRIM(IF(AND(E120&gt;=250,H120&lt;&gt;"Y"),"Receipt letter needed. ","")&amp;IF(AND(D120&lt;&gt;"Cash",E120&gt;5000),"Appraisal likely. ","")&amp;IF(AND(D120="Securities",G120="N"),"Short-term: limited to basis. ","")))</f>
        <v/>
      </c>
    </row>
    <row r="121" ht="17" customHeight="1">
      <c r="A121" s="17" t="n"/>
      <c r="B121" s="18" t="n"/>
      <c r="C121" s="18" t="n"/>
      <c r="D121" s="18" t="n"/>
      <c r="E121" s="19" t="n"/>
      <c r="F121" s="19" t="n"/>
      <c r="G121" s="20" t="n"/>
      <c r="H121" s="20" t="n"/>
      <c r="I121" s="21">
        <f>IF(OR(D121="",E121=""),"",IF(D121="Securities",IF(G121="N",MIN(E121,IF(F121="",E121,F121)),E121),E121))</f>
        <v/>
      </c>
      <c r="J121" s="22">
        <f>IF(E121="","",TRIM(IF(AND(E121&gt;=250,H121&lt;&gt;"Y"),"Receipt letter needed. ","")&amp;IF(AND(D121&lt;&gt;"Cash",E121&gt;5000),"Appraisal likely. ","")&amp;IF(AND(D121="Securities",G121="N"),"Short-term: limited to basis. ","")))</f>
        <v/>
      </c>
    </row>
    <row r="122" ht="17" customHeight="1">
      <c r="A122" s="17" t="n"/>
      <c r="B122" s="18" t="n"/>
      <c r="C122" s="18" t="n"/>
      <c r="D122" s="18" t="n"/>
      <c r="E122" s="19" t="n"/>
      <c r="F122" s="19" t="n"/>
      <c r="G122" s="20" t="n"/>
      <c r="H122" s="20" t="n"/>
      <c r="I122" s="21">
        <f>IF(OR(D122="",E122=""),"",IF(D122="Securities",IF(G122="N",MIN(E122,IF(F122="",E122,F122)),E122),E122))</f>
        <v/>
      </c>
      <c r="J122" s="22">
        <f>IF(E122="","",TRIM(IF(AND(E122&gt;=250,H122&lt;&gt;"Y"),"Receipt letter needed. ","")&amp;IF(AND(D122&lt;&gt;"Cash",E122&gt;5000),"Appraisal likely. ","")&amp;IF(AND(D122="Securities",G122="N"),"Short-term: limited to basis. ","")))</f>
        <v/>
      </c>
    </row>
    <row r="123" ht="17" customHeight="1">
      <c r="A123" s="17" t="n"/>
      <c r="B123" s="18" t="n"/>
      <c r="C123" s="18" t="n"/>
      <c r="D123" s="18" t="n"/>
      <c r="E123" s="19" t="n"/>
      <c r="F123" s="19" t="n"/>
      <c r="G123" s="20" t="n"/>
      <c r="H123" s="20" t="n"/>
      <c r="I123" s="21">
        <f>IF(OR(D123="",E123=""),"",IF(D123="Securities",IF(G123="N",MIN(E123,IF(F123="",E123,F123)),E123),E123))</f>
        <v/>
      </c>
      <c r="J123" s="22">
        <f>IF(E123="","",TRIM(IF(AND(E123&gt;=250,H123&lt;&gt;"Y"),"Receipt letter needed. ","")&amp;IF(AND(D123&lt;&gt;"Cash",E123&gt;5000),"Appraisal likely. ","")&amp;IF(AND(D123="Securities",G123="N"),"Short-term: limited to basis. ","")))</f>
        <v/>
      </c>
    </row>
    <row r="124" ht="17" customHeight="1">
      <c r="A124" s="17" t="n"/>
      <c r="B124" s="18" t="n"/>
      <c r="C124" s="18" t="n"/>
      <c r="D124" s="18" t="n"/>
      <c r="E124" s="19" t="n"/>
      <c r="F124" s="19" t="n"/>
      <c r="G124" s="20" t="n"/>
      <c r="H124" s="20" t="n"/>
      <c r="I124" s="21">
        <f>IF(OR(D124="",E124=""),"",IF(D124="Securities",IF(G124="N",MIN(E124,IF(F124="",E124,F124)),E124),E124))</f>
        <v/>
      </c>
      <c r="J124" s="22">
        <f>IF(E124="","",TRIM(IF(AND(E124&gt;=250,H124&lt;&gt;"Y"),"Receipt letter needed. ","")&amp;IF(AND(D124&lt;&gt;"Cash",E124&gt;5000),"Appraisal likely. ","")&amp;IF(AND(D124="Securities",G124="N"),"Short-term: limited to basis. ","")))</f>
        <v/>
      </c>
    </row>
    <row r="125" ht="17" customHeight="1">
      <c r="A125" s="17" t="n"/>
      <c r="B125" s="18" t="n"/>
      <c r="C125" s="18" t="n"/>
      <c r="D125" s="18" t="n"/>
      <c r="E125" s="19" t="n"/>
      <c r="F125" s="19" t="n"/>
      <c r="G125" s="20" t="n"/>
      <c r="H125" s="20" t="n"/>
      <c r="I125" s="21">
        <f>IF(OR(D125="",E125=""),"",IF(D125="Securities",IF(G125="N",MIN(E125,IF(F125="",E125,F125)),E125),E125))</f>
        <v/>
      </c>
      <c r="J125" s="22">
        <f>IF(E125="","",TRIM(IF(AND(E125&gt;=250,H125&lt;&gt;"Y"),"Receipt letter needed. ","")&amp;IF(AND(D125&lt;&gt;"Cash",E125&gt;5000),"Appraisal likely. ","")&amp;IF(AND(D125="Securities",G125="N"),"Short-term: limited to basis. ","")))</f>
        <v/>
      </c>
    </row>
    <row r="126" ht="17" customHeight="1">
      <c r="A126" s="17" t="n"/>
      <c r="B126" s="18" t="n"/>
      <c r="C126" s="18" t="n"/>
      <c r="D126" s="18" t="n"/>
      <c r="E126" s="19" t="n"/>
      <c r="F126" s="19" t="n"/>
      <c r="G126" s="20" t="n"/>
      <c r="H126" s="20" t="n"/>
      <c r="I126" s="21">
        <f>IF(OR(D126="",E126=""),"",IF(D126="Securities",IF(G126="N",MIN(E126,IF(F126="",E126,F126)),E126),E126))</f>
        <v/>
      </c>
      <c r="J126" s="22">
        <f>IF(E126="","",TRIM(IF(AND(E126&gt;=250,H126&lt;&gt;"Y"),"Receipt letter needed. ","")&amp;IF(AND(D126&lt;&gt;"Cash",E126&gt;5000),"Appraisal likely. ","")&amp;IF(AND(D126="Securities",G126="N"),"Short-term: limited to basis. ","")))</f>
        <v/>
      </c>
    </row>
    <row r="127" ht="17" customHeight="1">
      <c r="A127" s="17" t="n"/>
      <c r="B127" s="18" t="n"/>
      <c r="C127" s="18" t="n"/>
      <c r="D127" s="18" t="n"/>
      <c r="E127" s="19" t="n"/>
      <c r="F127" s="19" t="n"/>
      <c r="G127" s="20" t="n"/>
      <c r="H127" s="20" t="n"/>
      <c r="I127" s="21">
        <f>IF(OR(D127="",E127=""),"",IF(D127="Securities",IF(G127="N",MIN(E127,IF(F127="",E127,F127)),E127),E127))</f>
        <v/>
      </c>
      <c r="J127" s="22">
        <f>IF(E127="","",TRIM(IF(AND(E127&gt;=250,H127&lt;&gt;"Y"),"Receipt letter needed. ","")&amp;IF(AND(D127&lt;&gt;"Cash",E127&gt;5000),"Appraisal likely. ","")&amp;IF(AND(D127="Securities",G127="N"),"Short-term: limited to basis. ","")))</f>
        <v/>
      </c>
    </row>
    <row r="128" ht="17" customHeight="1">
      <c r="A128" s="17" t="n"/>
      <c r="B128" s="18" t="n"/>
      <c r="C128" s="18" t="n"/>
      <c r="D128" s="18" t="n"/>
      <c r="E128" s="19" t="n"/>
      <c r="F128" s="19" t="n"/>
      <c r="G128" s="20" t="n"/>
      <c r="H128" s="20" t="n"/>
      <c r="I128" s="21">
        <f>IF(OR(D128="",E128=""),"",IF(D128="Securities",IF(G128="N",MIN(E128,IF(F128="",E128,F128)),E128),E128))</f>
        <v/>
      </c>
      <c r="J128" s="22">
        <f>IF(E128="","",TRIM(IF(AND(E128&gt;=250,H128&lt;&gt;"Y"),"Receipt letter needed. ","")&amp;IF(AND(D128&lt;&gt;"Cash",E128&gt;5000),"Appraisal likely. ","")&amp;IF(AND(D128="Securities",G128="N"),"Short-term: limited to basis. ","")))</f>
        <v/>
      </c>
    </row>
    <row r="129" ht="17" customHeight="1">
      <c r="A129" s="17" t="n"/>
      <c r="B129" s="18" t="n"/>
      <c r="C129" s="18" t="n"/>
      <c r="D129" s="18" t="n"/>
      <c r="E129" s="19" t="n"/>
      <c r="F129" s="19" t="n"/>
      <c r="G129" s="20" t="n"/>
      <c r="H129" s="20" t="n"/>
      <c r="I129" s="21">
        <f>IF(OR(D129="",E129=""),"",IF(D129="Securities",IF(G129="N",MIN(E129,IF(F129="",E129,F129)),E129),E129))</f>
        <v/>
      </c>
      <c r="J129" s="22">
        <f>IF(E129="","",TRIM(IF(AND(E129&gt;=250,H129&lt;&gt;"Y"),"Receipt letter needed. ","")&amp;IF(AND(D129&lt;&gt;"Cash",E129&gt;5000),"Appraisal likely. ","")&amp;IF(AND(D129="Securities",G129="N"),"Short-term: limited to basis. ","")))</f>
        <v/>
      </c>
    </row>
    <row r="130" ht="17" customHeight="1">
      <c r="A130" s="17" t="n"/>
      <c r="B130" s="18" t="n"/>
      <c r="C130" s="18" t="n"/>
      <c r="D130" s="18" t="n"/>
      <c r="E130" s="19" t="n"/>
      <c r="F130" s="19" t="n"/>
      <c r="G130" s="20" t="n"/>
      <c r="H130" s="20" t="n"/>
      <c r="I130" s="21">
        <f>IF(OR(D130="",E130=""),"",IF(D130="Securities",IF(G130="N",MIN(E130,IF(F130="",E130,F130)),E130),E130))</f>
        <v/>
      </c>
      <c r="J130" s="22">
        <f>IF(E130="","",TRIM(IF(AND(E130&gt;=250,H130&lt;&gt;"Y"),"Receipt letter needed. ","")&amp;IF(AND(D130&lt;&gt;"Cash",E130&gt;5000),"Appraisal likely. ","")&amp;IF(AND(D130="Securities",G130="N"),"Short-term: limited to basis. ","")))</f>
        <v/>
      </c>
    </row>
    <row r="131" ht="17" customHeight="1">
      <c r="A131" s="17" t="n"/>
      <c r="B131" s="18" t="n"/>
      <c r="C131" s="18" t="n"/>
      <c r="D131" s="18" t="n"/>
      <c r="E131" s="19" t="n"/>
      <c r="F131" s="19" t="n"/>
      <c r="G131" s="20" t="n"/>
      <c r="H131" s="20" t="n"/>
      <c r="I131" s="21">
        <f>IF(OR(D131="",E131=""),"",IF(D131="Securities",IF(G131="N",MIN(E131,IF(F131="",E131,F131)),E131),E131))</f>
        <v/>
      </c>
      <c r="J131" s="22">
        <f>IF(E131="","",TRIM(IF(AND(E131&gt;=250,H131&lt;&gt;"Y"),"Receipt letter needed. ","")&amp;IF(AND(D131&lt;&gt;"Cash",E131&gt;5000),"Appraisal likely. ","")&amp;IF(AND(D131="Securities",G131="N"),"Short-term: limited to basis. ","")))</f>
        <v/>
      </c>
    </row>
    <row r="132" ht="17" customHeight="1">
      <c r="A132" s="17" t="n"/>
      <c r="B132" s="18" t="n"/>
      <c r="C132" s="18" t="n"/>
      <c r="D132" s="18" t="n"/>
      <c r="E132" s="19" t="n"/>
      <c r="F132" s="19" t="n"/>
      <c r="G132" s="20" t="n"/>
      <c r="H132" s="20" t="n"/>
      <c r="I132" s="21">
        <f>IF(OR(D132="",E132=""),"",IF(D132="Securities",IF(G132="N",MIN(E132,IF(F132="",E132,F132)),E132),E132))</f>
        <v/>
      </c>
      <c r="J132" s="22">
        <f>IF(E132="","",TRIM(IF(AND(E132&gt;=250,H132&lt;&gt;"Y"),"Receipt letter needed. ","")&amp;IF(AND(D132&lt;&gt;"Cash",E132&gt;5000),"Appraisal likely. ","")&amp;IF(AND(D132="Securities",G132="N"),"Short-term: limited to basis. ","")))</f>
        <v/>
      </c>
    </row>
    <row r="133" ht="17" customHeight="1">
      <c r="A133" s="17" t="n"/>
      <c r="B133" s="18" t="n"/>
      <c r="C133" s="18" t="n"/>
      <c r="D133" s="18" t="n"/>
      <c r="E133" s="19" t="n"/>
      <c r="F133" s="19" t="n"/>
      <c r="G133" s="20" t="n"/>
      <c r="H133" s="20" t="n"/>
      <c r="I133" s="21">
        <f>IF(OR(D133="",E133=""),"",IF(D133="Securities",IF(G133="N",MIN(E133,IF(F133="",E133,F133)),E133),E133))</f>
        <v/>
      </c>
      <c r="J133" s="22">
        <f>IF(E133="","",TRIM(IF(AND(E133&gt;=250,H133&lt;&gt;"Y"),"Receipt letter needed. ","")&amp;IF(AND(D133&lt;&gt;"Cash",E133&gt;5000),"Appraisal likely. ","")&amp;IF(AND(D133="Securities",G133="N"),"Short-term: limited to basis. ","")))</f>
        <v/>
      </c>
    </row>
    <row r="134" ht="17" customHeight="1">
      <c r="A134" s="17" t="n"/>
      <c r="B134" s="18" t="n"/>
      <c r="C134" s="18" t="n"/>
      <c r="D134" s="18" t="n"/>
      <c r="E134" s="19" t="n"/>
      <c r="F134" s="19" t="n"/>
      <c r="G134" s="20" t="n"/>
      <c r="H134" s="20" t="n"/>
      <c r="I134" s="21">
        <f>IF(OR(D134="",E134=""),"",IF(D134="Securities",IF(G134="N",MIN(E134,IF(F134="",E134,F134)),E134),E134))</f>
        <v/>
      </c>
      <c r="J134" s="22">
        <f>IF(E134="","",TRIM(IF(AND(E134&gt;=250,H134&lt;&gt;"Y"),"Receipt letter needed. ","")&amp;IF(AND(D134&lt;&gt;"Cash",E134&gt;5000),"Appraisal likely. ","")&amp;IF(AND(D134="Securities",G134="N"),"Short-term: limited to basis. ","")))</f>
        <v/>
      </c>
    </row>
    <row r="135" ht="17" customHeight="1">
      <c r="A135" s="17" t="n"/>
      <c r="B135" s="18" t="n"/>
      <c r="C135" s="18" t="n"/>
      <c r="D135" s="18" t="n"/>
      <c r="E135" s="19" t="n"/>
      <c r="F135" s="19" t="n"/>
      <c r="G135" s="20" t="n"/>
      <c r="H135" s="20" t="n"/>
      <c r="I135" s="21">
        <f>IF(OR(D135="",E135=""),"",IF(D135="Securities",IF(G135="N",MIN(E135,IF(F135="",E135,F135)),E135),E135))</f>
        <v/>
      </c>
      <c r="J135" s="22">
        <f>IF(E135="","",TRIM(IF(AND(E135&gt;=250,H135&lt;&gt;"Y"),"Receipt letter needed. ","")&amp;IF(AND(D135&lt;&gt;"Cash",E135&gt;5000),"Appraisal likely. ","")&amp;IF(AND(D135="Securities",G135="N"),"Short-term: limited to basis. ","")))</f>
        <v/>
      </c>
    </row>
    <row r="136" ht="17" customHeight="1">
      <c r="A136" s="17" t="n"/>
      <c r="B136" s="18" t="n"/>
      <c r="C136" s="18" t="n"/>
      <c r="D136" s="18" t="n"/>
      <c r="E136" s="19" t="n"/>
      <c r="F136" s="19" t="n"/>
      <c r="G136" s="20" t="n"/>
      <c r="H136" s="20" t="n"/>
      <c r="I136" s="21">
        <f>IF(OR(D136="",E136=""),"",IF(D136="Securities",IF(G136="N",MIN(E136,IF(F136="",E136,F136)),E136),E136))</f>
        <v/>
      </c>
      <c r="J136" s="22">
        <f>IF(E136="","",TRIM(IF(AND(E136&gt;=250,H136&lt;&gt;"Y"),"Receipt letter needed. ","")&amp;IF(AND(D136&lt;&gt;"Cash",E136&gt;5000),"Appraisal likely. ","")&amp;IF(AND(D136="Securities",G136="N"),"Short-term: limited to basis. ","")))</f>
        <v/>
      </c>
    </row>
    <row r="137" ht="17" customHeight="1">
      <c r="A137" s="17" t="n"/>
      <c r="B137" s="18" t="n"/>
      <c r="C137" s="18" t="n"/>
      <c r="D137" s="18" t="n"/>
      <c r="E137" s="19" t="n"/>
      <c r="F137" s="19" t="n"/>
      <c r="G137" s="20" t="n"/>
      <c r="H137" s="20" t="n"/>
      <c r="I137" s="21">
        <f>IF(OR(D137="",E137=""),"",IF(D137="Securities",IF(G137="N",MIN(E137,IF(F137="",E137,F137)),E137),E137))</f>
        <v/>
      </c>
      <c r="J137" s="22">
        <f>IF(E137="","",TRIM(IF(AND(E137&gt;=250,H137&lt;&gt;"Y"),"Receipt letter needed. ","")&amp;IF(AND(D137&lt;&gt;"Cash",E137&gt;5000),"Appraisal likely. ","")&amp;IF(AND(D137="Securities",G137="N"),"Short-term: limited to basis. ","")))</f>
        <v/>
      </c>
    </row>
    <row r="138" ht="17" customHeight="1">
      <c r="A138" s="17" t="n"/>
      <c r="B138" s="18" t="n"/>
      <c r="C138" s="18" t="n"/>
      <c r="D138" s="18" t="n"/>
      <c r="E138" s="19" t="n"/>
      <c r="F138" s="19" t="n"/>
      <c r="G138" s="20" t="n"/>
      <c r="H138" s="20" t="n"/>
      <c r="I138" s="21">
        <f>IF(OR(D138="",E138=""),"",IF(D138="Securities",IF(G138="N",MIN(E138,IF(F138="",E138,F138)),E138),E138))</f>
        <v/>
      </c>
      <c r="J138" s="22">
        <f>IF(E138="","",TRIM(IF(AND(E138&gt;=250,H138&lt;&gt;"Y"),"Receipt letter needed. ","")&amp;IF(AND(D138&lt;&gt;"Cash",E138&gt;5000),"Appraisal likely. ","")&amp;IF(AND(D138="Securities",G138="N"),"Short-term: limited to basis. ","")))</f>
        <v/>
      </c>
    </row>
    <row r="139" ht="17" customHeight="1">
      <c r="A139" s="17" t="n"/>
      <c r="B139" s="18" t="n"/>
      <c r="C139" s="18" t="n"/>
      <c r="D139" s="18" t="n"/>
      <c r="E139" s="19" t="n"/>
      <c r="F139" s="19" t="n"/>
      <c r="G139" s="20" t="n"/>
      <c r="H139" s="20" t="n"/>
      <c r="I139" s="21">
        <f>IF(OR(D139="",E139=""),"",IF(D139="Securities",IF(G139="N",MIN(E139,IF(F139="",E139,F139)),E139),E139))</f>
        <v/>
      </c>
      <c r="J139" s="22">
        <f>IF(E139="","",TRIM(IF(AND(E139&gt;=250,H139&lt;&gt;"Y"),"Receipt letter needed. ","")&amp;IF(AND(D139&lt;&gt;"Cash",E139&gt;5000),"Appraisal likely. ","")&amp;IF(AND(D139="Securities",G139="N"),"Short-term: limited to basis. ","")))</f>
        <v/>
      </c>
    </row>
    <row r="140" ht="17" customHeight="1">
      <c r="A140" s="17" t="n"/>
      <c r="B140" s="18" t="n"/>
      <c r="C140" s="18" t="n"/>
      <c r="D140" s="18" t="n"/>
      <c r="E140" s="19" t="n"/>
      <c r="F140" s="19" t="n"/>
      <c r="G140" s="20" t="n"/>
      <c r="H140" s="20" t="n"/>
      <c r="I140" s="21">
        <f>IF(OR(D140="",E140=""),"",IF(D140="Securities",IF(G140="N",MIN(E140,IF(F140="",E140,F140)),E140),E140))</f>
        <v/>
      </c>
      <c r="J140" s="22">
        <f>IF(E140="","",TRIM(IF(AND(E140&gt;=250,H140&lt;&gt;"Y"),"Receipt letter needed. ","")&amp;IF(AND(D140&lt;&gt;"Cash",E140&gt;5000),"Appraisal likely. ","")&amp;IF(AND(D140="Securities",G140="N"),"Short-term: limited to basis. ","")))</f>
        <v/>
      </c>
    </row>
    <row r="141" ht="17" customHeight="1">
      <c r="A141" s="17" t="n"/>
      <c r="B141" s="18" t="n"/>
      <c r="C141" s="18" t="n"/>
      <c r="D141" s="18" t="n"/>
      <c r="E141" s="19" t="n"/>
      <c r="F141" s="19" t="n"/>
      <c r="G141" s="20" t="n"/>
      <c r="H141" s="20" t="n"/>
      <c r="I141" s="21">
        <f>IF(OR(D141="",E141=""),"",IF(D141="Securities",IF(G141="N",MIN(E141,IF(F141="",E141,F141)),E141),E141))</f>
        <v/>
      </c>
      <c r="J141" s="22">
        <f>IF(E141="","",TRIM(IF(AND(E141&gt;=250,H141&lt;&gt;"Y"),"Receipt letter needed. ","")&amp;IF(AND(D141&lt;&gt;"Cash",E141&gt;5000),"Appraisal likely. ","")&amp;IF(AND(D141="Securities",G141="N"),"Short-term: limited to basis. ","")))</f>
        <v/>
      </c>
    </row>
    <row r="142" ht="17" customHeight="1">
      <c r="A142" s="17" t="n"/>
      <c r="B142" s="18" t="n"/>
      <c r="C142" s="18" t="n"/>
      <c r="D142" s="18" t="n"/>
      <c r="E142" s="19" t="n"/>
      <c r="F142" s="19" t="n"/>
      <c r="G142" s="20" t="n"/>
      <c r="H142" s="20" t="n"/>
      <c r="I142" s="21">
        <f>IF(OR(D142="",E142=""),"",IF(D142="Securities",IF(G142="N",MIN(E142,IF(F142="",E142,F142)),E142),E142))</f>
        <v/>
      </c>
      <c r="J142" s="22">
        <f>IF(E142="","",TRIM(IF(AND(E142&gt;=250,H142&lt;&gt;"Y"),"Receipt letter needed. ","")&amp;IF(AND(D142&lt;&gt;"Cash",E142&gt;5000),"Appraisal likely. ","")&amp;IF(AND(D142="Securities",G142="N"),"Short-term: limited to basis. ","")))</f>
        <v/>
      </c>
    </row>
    <row r="143" ht="17" customHeight="1">
      <c r="A143" s="17" t="n"/>
      <c r="B143" s="18" t="n"/>
      <c r="C143" s="18" t="n"/>
      <c r="D143" s="18" t="n"/>
      <c r="E143" s="19" t="n"/>
      <c r="F143" s="19" t="n"/>
      <c r="G143" s="20" t="n"/>
      <c r="H143" s="20" t="n"/>
      <c r="I143" s="21">
        <f>IF(OR(D143="",E143=""),"",IF(D143="Securities",IF(G143="N",MIN(E143,IF(F143="",E143,F143)),E143),E143))</f>
        <v/>
      </c>
      <c r="J143" s="22">
        <f>IF(E143="","",TRIM(IF(AND(E143&gt;=250,H143&lt;&gt;"Y"),"Receipt letter needed. ","")&amp;IF(AND(D143&lt;&gt;"Cash",E143&gt;5000),"Appraisal likely. ","")&amp;IF(AND(D143="Securities",G143="N"),"Short-term: limited to basis. ","")))</f>
        <v/>
      </c>
    </row>
    <row r="144" ht="17" customHeight="1">
      <c r="A144" s="17" t="n"/>
      <c r="B144" s="18" t="n"/>
      <c r="C144" s="18" t="n"/>
      <c r="D144" s="18" t="n"/>
      <c r="E144" s="19" t="n"/>
      <c r="F144" s="19" t="n"/>
      <c r="G144" s="20" t="n"/>
      <c r="H144" s="20" t="n"/>
      <c r="I144" s="21">
        <f>IF(OR(D144="",E144=""),"",IF(D144="Securities",IF(G144="N",MIN(E144,IF(F144="",E144,F144)),E144),E144))</f>
        <v/>
      </c>
      <c r="J144" s="22">
        <f>IF(E144="","",TRIM(IF(AND(E144&gt;=250,H144&lt;&gt;"Y"),"Receipt letter needed. ","")&amp;IF(AND(D144&lt;&gt;"Cash",E144&gt;5000),"Appraisal likely. ","")&amp;IF(AND(D144="Securities",G144="N"),"Short-term: limited to basis. ","")))</f>
        <v/>
      </c>
    </row>
    <row r="145" ht="17" customHeight="1">
      <c r="A145" s="17" t="n"/>
      <c r="B145" s="18" t="n"/>
      <c r="C145" s="18" t="n"/>
      <c r="D145" s="18" t="n"/>
      <c r="E145" s="19" t="n"/>
      <c r="F145" s="19" t="n"/>
      <c r="G145" s="20" t="n"/>
      <c r="H145" s="20" t="n"/>
      <c r="I145" s="21">
        <f>IF(OR(D145="",E145=""),"",IF(D145="Securities",IF(G145="N",MIN(E145,IF(F145="",E145,F145)),E145),E145))</f>
        <v/>
      </c>
      <c r="J145" s="22">
        <f>IF(E145="","",TRIM(IF(AND(E145&gt;=250,H145&lt;&gt;"Y"),"Receipt letter needed. ","")&amp;IF(AND(D145&lt;&gt;"Cash",E145&gt;5000),"Appraisal likely. ","")&amp;IF(AND(D145="Securities",G145="N"),"Short-term: limited to basis. ","")))</f>
        <v/>
      </c>
    </row>
    <row r="146" ht="17" customHeight="1">
      <c r="A146" s="17" t="n"/>
      <c r="B146" s="18" t="n"/>
      <c r="C146" s="18" t="n"/>
      <c r="D146" s="18" t="n"/>
      <c r="E146" s="19" t="n"/>
      <c r="F146" s="19" t="n"/>
      <c r="G146" s="20" t="n"/>
      <c r="H146" s="20" t="n"/>
      <c r="I146" s="21">
        <f>IF(OR(D146="",E146=""),"",IF(D146="Securities",IF(G146="N",MIN(E146,IF(F146="",E146,F146)),E146),E146))</f>
        <v/>
      </c>
      <c r="J146" s="22">
        <f>IF(E146="","",TRIM(IF(AND(E146&gt;=250,H146&lt;&gt;"Y"),"Receipt letter needed. ","")&amp;IF(AND(D146&lt;&gt;"Cash",E146&gt;5000),"Appraisal likely. ","")&amp;IF(AND(D146="Securities",G146="N"),"Short-term: limited to basis. ","")))</f>
        <v/>
      </c>
    </row>
    <row r="147" ht="17" customHeight="1">
      <c r="A147" s="17" t="n"/>
      <c r="B147" s="18" t="n"/>
      <c r="C147" s="18" t="n"/>
      <c r="D147" s="18" t="n"/>
      <c r="E147" s="19" t="n"/>
      <c r="F147" s="19" t="n"/>
      <c r="G147" s="20" t="n"/>
      <c r="H147" s="20" t="n"/>
      <c r="I147" s="21">
        <f>IF(OR(D147="",E147=""),"",IF(D147="Securities",IF(G147="N",MIN(E147,IF(F147="",E147,F147)),E147),E147))</f>
        <v/>
      </c>
      <c r="J147" s="22">
        <f>IF(E147="","",TRIM(IF(AND(E147&gt;=250,H147&lt;&gt;"Y"),"Receipt letter needed. ","")&amp;IF(AND(D147&lt;&gt;"Cash",E147&gt;5000),"Appraisal likely. ","")&amp;IF(AND(D147="Securities",G147="N"),"Short-term: limited to basis. ","")))</f>
        <v/>
      </c>
    </row>
    <row r="148" ht="17" customHeight="1">
      <c r="A148" s="17" t="n"/>
      <c r="B148" s="18" t="n"/>
      <c r="C148" s="18" t="n"/>
      <c r="D148" s="18" t="n"/>
      <c r="E148" s="19" t="n"/>
      <c r="F148" s="19" t="n"/>
      <c r="G148" s="20" t="n"/>
      <c r="H148" s="20" t="n"/>
      <c r="I148" s="21">
        <f>IF(OR(D148="",E148=""),"",IF(D148="Securities",IF(G148="N",MIN(E148,IF(F148="",E148,F148)),E148),E148))</f>
        <v/>
      </c>
      <c r="J148" s="22">
        <f>IF(E148="","",TRIM(IF(AND(E148&gt;=250,H148&lt;&gt;"Y"),"Receipt letter needed. ","")&amp;IF(AND(D148&lt;&gt;"Cash",E148&gt;5000),"Appraisal likely. ","")&amp;IF(AND(D148="Securities",G148="N"),"Short-term: limited to basis. ","")))</f>
        <v/>
      </c>
    </row>
    <row r="149" ht="17" customHeight="1">
      <c r="A149" s="17" t="n"/>
      <c r="B149" s="18" t="n"/>
      <c r="C149" s="18" t="n"/>
      <c r="D149" s="18" t="n"/>
      <c r="E149" s="19" t="n"/>
      <c r="F149" s="19" t="n"/>
      <c r="G149" s="20" t="n"/>
      <c r="H149" s="20" t="n"/>
      <c r="I149" s="21">
        <f>IF(OR(D149="",E149=""),"",IF(D149="Securities",IF(G149="N",MIN(E149,IF(F149="",E149,F149)),E149),E149))</f>
        <v/>
      </c>
      <c r="J149" s="22">
        <f>IF(E149="","",TRIM(IF(AND(E149&gt;=250,H149&lt;&gt;"Y"),"Receipt letter needed. ","")&amp;IF(AND(D149&lt;&gt;"Cash",E149&gt;5000),"Appraisal likely. ","")&amp;IF(AND(D149="Securities",G149="N"),"Short-term: limited to basis. ","")))</f>
        <v/>
      </c>
    </row>
    <row r="150" ht="17" customHeight="1">
      <c r="A150" s="17" t="n"/>
      <c r="B150" s="18" t="n"/>
      <c r="C150" s="18" t="n"/>
      <c r="D150" s="18" t="n"/>
      <c r="E150" s="19" t="n"/>
      <c r="F150" s="19" t="n"/>
      <c r="G150" s="20" t="n"/>
      <c r="H150" s="20" t="n"/>
      <c r="I150" s="21">
        <f>IF(OR(D150="",E150=""),"",IF(D150="Securities",IF(G150="N",MIN(E150,IF(F150="",E150,F150)),E150),E150))</f>
        <v/>
      </c>
      <c r="J150" s="22">
        <f>IF(E150="","",TRIM(IF(AND(E150&gt;=250,H150&lt;&gt;"Y"),"Receipt letter needed. ","")&amp;IF(AND(D150&lt;&gt;"Cash",E150&gt;5000),"Appraisal likely. ","")&amp;IF(AND(D150="Securities",G150="N"),"Short-term: limited to basis. ","")))</f>
        <v/>
      </c>
    </row>
    <row r="151" ht="17" customHeight="1">
      <c r="A151" s="17" t="n"/>
      <c r="B151" s="18" t="n"/>
      <c r="C151" s="18" t="n"/>
      <c r="D151" s="18" t="n"/>
      <c r="E151" s="19" t="n"/>
      <c r="F151" s="19" t="n"/>
      <c r="G151" s="20" t="n"/>
      <c r="H151" s="20" t="n"/>
      <c r="I151" s="21">
        <f>IF(OR(D151="",E151=""),"",IF(D151="Securities",IF(G151="N",MIN(E151,IF(F151="",E151,F151)),E151),E151))</f>
        <v/>
      </c>
      <c r="J151" s="22">
        <f>IF(E151="","",TRIM(IF(AND(E151&gt;=250,H151&lt;&gt;"Y"),"Receipt letter needed. ","")&amp;IF(AND(D151&lt;&gt;"Cash",E151&gt;5000),"Appraisal likely. ","")&amp;IF(AND(D151="Securities",G151="N"),"Short-term: limited to basis. ","")))</f>
        <v/>
      </c>
    </row>
    <row r="152" ht="17" customHeight="1">
      <c r="A152" s="17" t="n"/>
      <c r="B152" s="18" t="n"/>
      <c r="C152" s="18" t="n"/>
      <c r="D152" s="18" t="n"/>
      <c r="E152" s="19" t="n"/>
      <c r="F152" s="19" t="n"/>
      <c r="G152" s="20" t="n"/>
      <c r="H152" s="20" t="n"/>
      <c r="I152" s="21">
        <f>IF(OR(D152="",E152=""),"",IF(D152="Securities",IF(G152="N",MIN(E152,IF(F152="",E152,F152)),E152),E152))</f>
        <v/>
      </c>
      <c r="J152" s="22">
        <f>IF(E152="","",TRIM(IF(AND(E152&gt;=250,H152&lt;&gt;"Y"),"Receipt letter needed. ","")&amp;IF(AND(D152&lt;&gt;"Cash",E152&gt;5000),"Appraisal likely. ","")&amp;IF(AND(D152="Securities",G152="N"),"Short-term: limited to basis. ","")))</f>
        <v/>
      </c>
    </row>
    <row r="153" ht="17" customHeight="1">
      <c r="A153" s="17" t="n"/>
      <c r="B153" s="18" t="n"/>
      <c r="C153" s="18" t="n"/>
      <c r="D153" s="18" t="n"/>
      <c r="E153" s="19" t="n"/>
      <c r="F153" s="19" t="n"/>
      <c r="G153" s="20" t="n"/>
      <c r="H153" s="20" t="n"/>
      <c r="I153" s="21">
        <f>IF(OR(D153="",E153=""),"",IF(D153="Securities",IF(G153="N",MIN(E153,IF(F153="",E153,F153)),E153),E153))</f>
        <v/>
      </c>
      <c r="J153" s="22">
        <f>IF(E153="","",TRIM(IF(AND(E153&gt;=250,H153&lt;&gt;"Y"),"Receipt letter needed. ","")&amp;IF(AND(D153&lt;&gt;"Cash",E153&gt;5000),"Appraisal likely. ","")&amp;IF(AND(D153="Securities",G153="N"),"Short-term: limited to basis. ","")))</f>
        <v/>
      </c>
    </row>
    <row r="154" ht="17" customHeight="1">
      <c r="A154" s="17" t="n"/>
      <c r="B154" s="18" t="n"/>
      <c r="C154" s="18" t="n"/>
      <c r="D154" s="18" t="n"/>
      <c r="E154" s="19" t="n"/>
      <c r="F154" s="19" t="n"/>
      <c r="G154" s="20" t="n"/>
      <c r="H154" s="20" t="n"/>
      <c r="I154" s="21">
        <f>IF(OR(D154="",E154=""),"",IF(D154="Securities",IF(G154="N",MIN(E154,IF(F154="",E154,F154)),E154),E154))</f>
        <v/>
      </c>
      <c r="J154" s="22">
        <f>IF(E154="","",TRIM(IF(AND(E154&gt;=250,H154&lt;&gt;"Y"),"Receipt letter needed. ","")&amp;IF(AND(D154&lt;&gt;"Cash",E154&gt;5000),"Appraisal likely. ","")&amp;IF(AND(D154="Securities",G154="N"),"Short-term: limited to basis. ","")))</f>
        <v/>
      </c>
    </row>
    <row r="155" ht="17" customHeight="1">
      <c r="A155" s="17" t="n"/>
      <c r="B155" s="18" t="n"/>
      <c r="C155" s="18" t="n"/>
      <c r="D155" s="18" t="n"/>
      <c r="E155" s="19" t="n"/>
      <c r="F155" s="19" t="n"/>
      <c r="G155" s="20" t="n"/>
      <c r="H155" s="20" t="n"/>
      <c r="I155" s="21">
        <f>IF(OR(D155="",E155=""),"",IF(D155="Securities",IF(G155="N",MIN(E155,IF(F155="",E155,F155)),E155),E155))</f>
        <v/>
      </c>
      <c r="J155" s="22">
        <f>IF(E155="","",TRIM(IF(AND(E155&gt;=250,H155&lt;&gt;"Y"),"Receipt letter needed. ","")&amp;IF(AND(D155&lt;&gt;"Cash",E155&gt;5000),"Appraisal likely. ","")&amp;IF(AND(D155="Securities",G155="N"),"Short-term: limited to basis. ","")))</f>
        <v/>
      </c>
    </row>
    <row r="156" ht="17" customHeight="1">
      <c r="A156" s="17" t="n"/>
      <c r="B156" s="18" t="n"/>
      <c r="C156" s="18" t="n"/>
      <c r="D156" s="18" t="n"/>
      <c r="E156" s="19" t="n"/>
      <c r="F156" s="19" t="n"/>
      <c r="G156" s="20" t="n"/>
      <c r="H156" s="20" t="n"/>
      <c r="I156" s="21">
        <f>IF(OR(D156="",E156=""),"",IF(D156="Securities",IF(G156="N",MIN(E156,IF(F156="",E156,F156)),E156),E156))</f>
        <v/>
      </c>
      <c r="J156" s="22">
        <f>IF(E156="","",TRIM(IF(AND(E156&gt;=250,H156&lt;&gt;"Y"),"Receipt letter needed. ","")&amp;IF(AND(D156&lt;&gt;"Cash",E156&gt;5000),"Appraisal likely. ","")&amp;IF(AND(D156="Securities",G156="N"),"Short-term: limited to basis. ","")))</f>
        <v/>
      </c>
    </row>
    <row r="157" ht="22" customHeight="1">
      <c r="A157" s="23" t="n"/>
      <c r="B157" s="23" t="n"/>
      <c r="C157" s="23" t="n"/>
      <c r="D157" s="24" t="inlineStr">
        <is>
          <t>Totals</t>
        </is>
      </c>
      <c r="E157" s="25">
        <f>SUM(E7:E156)</f>
        <v/>
      </c>
      <c r="F157" s="23" t="n"/>
      <c r="G157" s="23" t="n"/>
      <c r="H157" s="23" t="n"/>
      <c r="I157" s="25">
        <f>SUM(I7:I156)</f>
        <v/>
      </c>
      <c r="J157" s="23" t="n"/>
    </row>
    <row r="159" ht="30" customHeight="1">
      <c r="A159"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J159"/>
  </mergeCells>
  <dataValidations count="2">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showDropDown="0" showInputMessage="0" showErrorMessage="0" allowBlank="1" errorTitle="Type" error="Cash, Non-cash, or Securities." type="list">
      <formula1>"Cash,Non-cash,Securities"</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showDropDown="0" showInputMessage="0" showErrorMessage="0" allowBlank="1" errorTitle="Y or N" error="Enter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4"/>
  <sheetViews>
    <sheetView showGridLines="0" workbookViewId="0">
      <selection activeCell="A1" sqref="A1"/>
    </sheetView>
  </sheetViews>
  <sheetFormatPr baseColWidth="8" defaultRowHeight="15"/>
  <cols>
    <col width="34"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t="inlineStr">
        <is>
          <t>Tax year 2026</t>
        </is>
      </c>
    </row>
    <row r="4" ht="10" customHeight="1"/>
    <row r="5" ht="16" customHeight="1">
      <c r="A5" s="26" t="inlineStr">
        <is>
          <t>TOTAL GIFTS</t>
        </is>
      </c>
      <c r="C5" s="26" t="inlineStr">
        <is>
          <t>ESTIMATED DEDUCTIBLE</t>
        </is>
      </c>
      <c r="E5" s="26" t="inlineStr">
        <is>
          <t>RECEIPTS STILL NEEDED</t>
        </is>
      </c>
    </row>
    <row r="6" ht="30" customHeight="1">
      <c r="A6" s="27">
        <f>Gifts!E157</f>
        <v/>
      </c>
      <c r="C6" s="27">
        <f>Gifts!I157</f>
        <v/>
      </c>
      <c r="E6" s="28">
        <f>COUNTIFS(Gifts!$E$7:$E$156,"&gt;=250",Gifts!$H$7:$H$156,"&lt;&gt;Y")</f>
        <v/>
      </c>
    </row>
    <row r="7" ht="16" customHeight="1">
      <c r="A7" s="29" t="inlineStr">
        <is>
          <t>all types</t>
        </is>
      </c>
      <c r="C7" s="29" t="inlineStr">
        <is>
          <t>before AGI limits</t>
        </is>
      </c>
      <c r="E7" s="29" t="inlineStr">
        <is>
          <t>gifts of $250 or more</t>
        </is>
      </c>
    </row>
    <row r="9" ht="24" customHeight="1">
      <c r="A9" s="10" t="inlineStr">
        <is>
          <t>Gifts by type</t>
        </is>
      </c>
      <c r="B9" s="11" t="n"/>
      <c r="C9" s="11" t="n"/>
      <c r="D9" s="11" t="n"/>
      <c r="E9" s="11" t="n"/>
      <c r="F9" s="11" t="n"/>
    </row>
    <row r="10" ht="18" customHeight="1">
      <c r="A10" s="13" t="inlineStr">
        <is>
          <t>TYPE</t>
        </is>
      </c>
      <c r="B10" s="15" t="inlineStr">
        <is>
          <t>GIFTS</t>
        </is>
      </c>
      <c r="C10" s="15" t="inlineStr">
        <is>
          <t>DEDUCTIBLE</t>
        </is>
      </c>
      <c r="D10" s="14" t="n"/>
      <c r="E10" s="15" t="inlineStr">
        <is>
          <t>COUNT</t>
        </is>
      </c>
    </row>
    <row r="11">
      <c r="A11" s="30" t="inlineStr">
        <is>
          <t>Cash</t>
        </is>
      </c>
      <c r="B11" s="21">
        <f>SUMIFS(Gifts!$E$7:$E$156,Gifts!$D$7:$D$156,"Cash")</f>
        <v/>
      </c>
      <c r="C11" s="21">
        <f>SUMIFS(Gifts!$I$7:$I$156,Gifts!$D$7:$D$156,"Cash")</f>
        <v/>
      </c>
      <c r="E11" s="31">
        <f>COUNTIFS(Gifts!$D$7:$D$156,"Cash",Gifts!$E$7:$E$156,"&gt;0")</f>
        <v/>
      </c>
    </row>
    <row r="12">
      <c r="A12" s="30" t="inlineStr">
        <is>
          <t>Non-cash</t>
        </is>
      </c>
      <c r="B12" s="21">
        <f>SUMIFS(Gifts!$E$7:$E$156,Gifts!$D$7:$D$156,"Non-cash")</f>
        <v/>
      </c>
      <c r="C12" s="21">
        <f>SUMIFS(Gifts!$I$7:$I$156,Gifts!$D$7:$D$156,"Non-cash")</f>
        <v/>
      </c>
      <c r="E12" s="31">
        <f>COUNTIFS(Gifts!$D$7:$D$156,"Non-cash",Gifts!$E$7:$E$156,"&gt;0")</f>
        <v/>
      </c>
    </row>
    <row r="13">
      <c r="A13" s="30" t="inlineStr">
        <is>
          <t>Securities</t>
        </is>
      </c>
      <c r="B13" s="21">
        <f>SUMIFS(Gifts!$E$7:$E$156,Gifts!$D$7:$D$156,"Securities")</f>
        <v/>
      </c>
      <c r="C13" s="21">
        <f>SUMIFS(Gifts!$I$7:$I$156,Gifts!$D$7:$D$156,"Securities")</f>
        <v/>
      </c>
      <c r="E13" s="31">
        <f>COUNTIFS(Gifts!$D$7:$D$156,"Securities",Gifts!$E$7:$E$156,"&gt;0")</f>
        <v/>
      </c>
    </row>
    <row r="14" ht="22" customHeight="1">
      <c r="A14" s="32" t="inlineStr">
        <is>
          <t>All gifts</t>
        </is>
      </c>
      <c r="B14" s="25">
        <f>SUM(B11:B13)</f>
        <v/>
      </c>
      <c r="C14" s="25">
        <f>SUM(C11:C13)</f>
        <v/>
      </c>
      <c r="D14" s="23" t="n"/>
      <c r="E14" s="33">
        <f>SUM(E11:E13)</f>
        <v/>
      </c>
    </row>
    <row r="16" ht="24" customHeight="1">
      <c r="A16" s="10" t="inlineStr">
        <is>
          <t>Documentation checklist</t>
        </is>
      </c>
      <c r="B16" s="11" t="n"/>
      <c r="C16" s="11" t="n"/>
      <c r="D16" s="11" t="n"/>
      <c r="E16" s="11" t="n"/>
      <c r="F16" s="11" t="n"/>
    </row>
    <row r="17" ht="18" customHeight="1">
      <c r="A17" s="13" t="inlineStr">
        <is>
          <t>ITEM</t>
        </is>
      </c>
      <c r="B17" s="14" t="n"/>
      <c r="C17" s="15" t="inlineStr">
        <is>
          <t>RESULT</t>
        </is>
      </c>
    </row>
    <row r="18">
      <c r="A18" s="30" t="inlineStr">
        <is>
          <t>Gifts of $250+ still missing a receipt letter</t>
        </is>
      </c>
      <c r="B18" s="34" t="n"/>
      <c r="C18" s="35">
        <f>COUNTIFS(Gifts!$E$7:$E$156,"&gt;=250",Gifts!$H$7:$H$156,"&lt;&gt;Y")</f>
        <v/>
      </c>
    </row>
    <row r="19">
      <c r="A19" s="30" t="inlineStr">
        <is>
          <t>Non-cash gifts in total (Form 8283 over $500)</t>
        </is>
      </c>
      <c r="B19" s="34" t="n"/>
      <c r="C19" s="36">
        <f>SUMIFS(Gifts!$E$7:$E$156,Gifts!$D$7:$D$156,"&lt;&gt;Cash")</f>
        <v/>
      </c>
    </row>
    <row r="20">
      <c r="A20" s="30" t="inlineStr">
        <is>
          <t>Form 8283 needed</t>
        </is>
      </c>
      <c r="B20" s="34" t="n"/>
      <c r="C20" s="37">
        <f>IF(C19&gt;500,"Yes","No")</f>
        <v/>
      </c>
    </row>
    <row r="21">
      <c r="A21" s="30" t="inlineStr">
        <is>
          <t>Non-cash items over $5,000 (appraisal)</t>
        </is>
      </c>
      <c r="B21" s="34" t="n"/>
      <c r="C21" s="35">
        <f>COUNTIFS(Gifts!$D$7:$D$156,"&lt;&gt;Cash",Gifts!$E$7:$E$156,"&gt;5000")</f>
        <v/>
      </c>
    </row>
    <row r="22">
      <c r="A22" s="30" t="inlineStr">
        <is>
          <t>Capital gain avoided on long-term securities</t>
        </is>
      </c>
      <c r="B22" s="34" t="n"/>
      <c r="C22" s="36">
        <f>SUMPRODUCT((Gifts!$D$7:$D$156="Securities")*(Gifts!$G$7:$G$156="Y")*(Gifts!$E$7:$E$156-Gifts!$F$7:$F$156))</f>
        <v/>
      </c>
    </row>
    <row r="24" ht="18" customHeight="1">
      <c r="A24" s="38" t="inlineStr">
        <is>
          <t>Reading this</t>
        </is>
      </c>
      <c r="B24" s="39" t="n"/>
      <c r="C24" s="39" t="n"/>
      <c r="D24" s="39" t="n"/>
      <c r="E24" s="39" t="n"/>
      <c r="F24" s="39" t="n"/>
    </row>
    <row r="25" ht="30" customHeight="1">
      <c r="A25" s="40" t="inlineStr">
        <is>
          <t>Thresholds: written acknowledgment for any gift of $250 or more; Form 8283 above $500 of non-cash gifts; qualified appraisal above $5,000 per item or group.</t>
        </is>
      </c>
    </row>
    <row r="26" ht="30" customHeight="1">
      <c r="A26" s="40" t="inlineStr">
        <is>
          <t>Deductible amounts are before the AGI limits (60% of AGI for cash, 30% for appreciated property) and the 0.5%-of-AGI floor that applies from 2026. Your CPA applies those.</t>
        </is>
      </c>
    </row>
    <row r="28" ht="30" customHeight="1">
      <c r="A28" s="9" t="inlineStr">
        <is>
          <t>Prepared for planning with Grott Luker &amp; Co. This workbook organizes your records; it does not determine what is deductible. Entries are your own; review with your Grott Luker CPA before anything is used in a return or a decision.</t>
        </is>
      </c>
    </row>
    <row r="30" ht="15" customHeight="1">
      <c r="A30" s="7" t="inlineStr">
        <is>
          <t>Grott Luker &amp; Co.</t>
        </is>
      </c>
    </row>
    <row r="31" ht="15" customHeight="1">
      <c r="A31" s="8" t="inlineStr">
        <is>
          <t>Certified Public Accountants · Portsmouth, New Hampshire · Accounting | Tax Planning | Advisory</t>
        </is>
      </c>
    </row>
    <row r="32" ht="15" customHeight="1">
      <c r="A32" s="8" t="inlineStr">
        <is>
          <t>Questions about this workbook go to your Grott Luker CPA.</t>
        </is>
      </c>
    </row>
    <row r="33" ht="15" customHeight="1">
      <c r="A33" s="8" t="inlineStr"/>
    </row>
    <row r="34" ht="30" customHeight="1">
      <c r="A34" s="9"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7">
    <mergeCell ref="A33:F33"/>
    <mergeCell ref="E6:F6"/>
    <mergeCell ref="C6:D6"/>
    <mergeCell ref="C7:D7"/>
    <mergeCell ref="A7:B7"/>
    <mergeCell ref="A28:F28"/>
    <mergeCell ref="E7:F7"/>
    <mergeCell ref="C5:D5"/>
    <mergeCell ref="A5:B5"/>
    <mergeCell ref="A31:F31"/>
    <mergeCell ref="E5:F5"/>
    <mergeCell ref="A32:F32"/>
    <mergeCell ref="A34:F34"/>
    <mergeCell ref="A26:F26"/>
    <mergeCell ref="A30:F30"/>
    <mergeCell ref="A6:B6"/>
    <mergeCell ref="A25:F25"/>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2026-10-02T01:02:31Z</dcterms:created>
  <dcterms:modified xsi:type="dcterms:W3CDTF">2026-10-02T01:02:31Z</dcterms:modified>
</cp:coreProperties>
</file>