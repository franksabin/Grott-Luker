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Gifts" sheetId="2" state="visible" r:id="rId2"/>
    <sheet name="Summary" sheetId="3" state="visible" r:id="rId3"/>
  </sheets>
  <definedNames/>
  <calcPr calcId="124519" fullCalcOnLoad="1"/>
</workbook>
</file>

<file path=xl/styles.xml><?xml version="1.0" encoding="utf-8"?>
<styleSheet xmlns="http://schemas.openxmlformats.org/spreadsheetml/2006/main">
  <numFmts count="2">
    <numFmt numFmtId="164" formatCode="mm/dd/yyyy"/>
    <numFmt numFmtId="165" formatCode="$#,##0.00;($#,##0.00);&quot;-&quot;"/>
  </numFmts>
  <fonts count="7">
    <font>
      <name val="Calibri"/>
      <family val="2"/>
      <color theme="1"/>
      <sz val="11"/>
      <scheme val="minor"/>
    </font>
    <font>
      <name val="Arial"/>
      <b val="1"/>
      <color rgb="000F2440"/>
      <sz val="16"/>
    </font>
    <font>
      <name val="Arial"/>
      <b val="1"/>
      <sz val="10"/>
    </font>
    <font>
      <name val="Arial"/>
      <sz val="10"/>
    </font>
    <font>
      <name val="Arial"/>
      <i val="1"/>
      <color rgb="00726D63"/>
      <sz val="9"/>
    </font>
    <font>
      <name val="Arial"/>
      <color rgb="005B6472"/>
      <sz val="10"/>
    </font>
    <font>
      <name val="Arial"/>
      <b val="1"/>
      <color rgb="00FFFFFF"/>
      <sz val="10"/>
    </font>
  </fonts>
  <fills count="4">
    <fill>
      <patternFill/>
    </fill>
    <fill>
      <patternFill patternType="gray125"/>
    </fill>
    <fill>
      <patternFill patternType="solid">
        <fgColor rgb="00FFF7D6"/>
      </patternFill>
    </fill>
    <fill>
      <patternFill patternType="solid">
        <fgColor rgb="000F2440"/>
      </patternFill>
    </fill>
  </fills>
  <borders count="2">
    <border>
      <left/>
      <right/>
      <top/>
      <bottom/>
      <diagonal/>
    </border>
    <border>
      <left style="thin">
        <color rgb="00DDD7C8"/>
      </left>
      <right style="thin">
        <color rgb="00DDD7C8"/>
      </right>
      <top style="thin">
        <color rgb="00DDD7C8"/>
      </top>
      <bottom style="thin">
        <color rgb="00DDD7C8"/>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5" fillId="0" borderId="0" pivotButton="0" quotePrefix="0" xfId="0"/>
    <xf numFmtId="0" fontId="4" fillId="0" borderId="0" pivotButton="0" quotePrefix="0" xfId="0"/>
    <xf numFmtId="0" fontId="4" fillId="2" borderId="0" pivotButton="0" quotePrefix="0" xfId="0"/>
    <xf numFmtId="0" fontId="6" fillId="3" borderId="1" applyAlignment="1" pivotButton="0" quotePrefix="0" xfId="0">
      <alignment horizontal="center" vertical="center" wrapText="1"/>
    </xf>
    <xf numFmtId="164" fontId="3" fillId="2" borderId="1" pivotButton="0" quotePrefix="0" xfId="0"/>
    <xf numFmtId="0" fontId="3" fillId="2" borderId="1" pivotButton="0" quotePrefix="0" xfId="0"/>
    <xf numFmtId="165" fontId="3" fillId="2" borderId="1" pivotButton="0" quotePrefix="0" xfId="0"/>
    <xf numFmtId="165" fontId="3" fillId="0" borderId="1" pivotButton="0" quotePrefix="0" xfId="0"/>
    <xf numFmtId="0" fontId="3" fillId="0" borderId="1" applyAlignment="1" pivotButton="0" quotePrefix="0" xfId="0">
      <alignment vertical="top" wrapText="1"/>
    </xf>
    <xf numFmtId="0" fontId="2" fillId="0" borderId="0" pivotButton="0" quotePrefix="0" xfId="0"/>
    <xf numFmtId="165" fontId="2" fillId="0" borderId="0" pivotButton="0" quotePrefix="0" xfId="0"/>
    <xf numFmtId="0" fontId="3" fillId="0" borderId="1" pivotButton="0" quotePrefix="0" xfId="0"/>
    <xf numFmtId="165" fontId="0" fillId="0" borderId="1" pivotButton="0" quotePrefix="0" xfId="0"/>
    <xf numFmtId="0" fontId="0" fillId="0" borderId="1" pivotButton="0" quotePrefix="0" xfId="0"/>
    <xf numFmtId="0" fontId="2" fillId="0" borderId="1" pivotButton="0" quotePrefix="0" xfId="0"/>
    <xf numFmtId="165"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ht="28" customHeight="1">
      <c r="A1" s="1" t="inlineStr">
        <is>
          <t>Charitable Donation Log — 2026</t>
        </is>
      </c>
    </row>
    <row r="2" ht="18" customHeight="1">
      <c r="A2" s="2" t="inlineStr">
        <is>
          <t>How to use this workbook</t>
        </is>
      </c>
    </row>
    <row r="3" ht="32" customHeight="1">
      <c r="A3" s="3" t="inlineStr">
        <is>
          <t>1. Log each gift on the Gifts sheet: date, organization, what it was, the type (Cash, Non-cash, or Securities), and the amount or fair market value. For securities add the cost basis and whether you held them more than a year.</t>
        </is>
      </c>
    </row>
    <row r="4" ht="18" customHeight="1">
      <c r="A4" s="3" t="inlineStr">
        <is>
          <t>2. The sheet calculates the deductible amount and flags what documentation each gift needs.</t>
        </is>
      </c>
    </row>
    <row r="5" ht="32" customHeight="1">
      <c r="A5" s="3" t="inlineStr">
        <is>
          <t>3. The Summary sheet totals by type and lists the flags. Send the workbook to Grott Luker &amp; Co. in January with your receipt letters.</t>
        </is>
      </c>
    </row>
    <row r="6" ht="18" customHeight="1">
      <c r="A6" s="3" t="inlineStr"/>
    </row>
    <row r="7" ht="18" customHeight="1">
      <c r="A7" s="2" t="inlineStr">
        <is>
          <t>Documentation rules</t>
        </is>
      </c>
    </row>
    <row r="8" ht="32" customHeight="1">
      <c r="A8" s="3" t="inlineStr">
        <is>
          <t>• Any single gift of $250 or more needs a contemporaneous written acknowledgment from the charity before you file. Mark the Receipt column Y once you have it.</t>
        </is>
      </c>
    </row>
    <row r="9" ht="18" customHeight="1">
      <c r="A9" s="3" t="inlineStr">
        <is>
          <t>• Non-cash gifts over $500 in total require Form 8283 with the return.</t>
        </is>
      </c>
    </row>
    <row r="10" ht="32" customHeight="1">
      <c r="A10" s="3" t="inlineStr">
        <is>
          <t>• Any non-cash item or group of similar items over $5,000 needs a qualified appraisal (publicly traded securities excepted).</t>
        </is>
      </c>
    </row>
    <row r="11" ht="32" customHeight="1">
      <c r="A11" s="3" t="inlineStr">
        <is>
          <t>• Appreciated securities held more than a year are deductible at fair market value and the capital gain is never taxed. Held a year or less, the deduction is limited to cost basis.</t>
        </is>
      </c>
    </row>
    <row r="12" ht="32" customHeight="1">
      <c r="A12" s="3" t="inlineStr">
        <is>
          <t>• Qualified charitable distributions from an IRA (70½+) are excluded from income instead of deducted; log them with a note so your CPA sees them.</t>
        </is>
      </c>
    </row>
    <row r="13" ht="18" customHeight="1">
      <c r="A13" s="3" t="inlineStr"/>
    </row>
    <row r="14" ht="18" customHeight="1">
      <c r="A14" s="4" t="inlineStr">
        <is>
          <t>Yellow cells are yours to fill in. White cells calculate themselves.</t>
        </is>
      </c>
    </row>
    <row r="15" ht="32" customHeight="1">
      <c r="A15" s="4" t="inlineStr">
        <is>
          <t>This workbook organizes gifts and flags documentation rules; it does not determine deductibility, which depends on the donee, AGI limits, and your facts. Review with Grott Luker &amp; Co. before filing.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7"/>
  <sheetViews>
    <sheetView workbookViewId="0">
      <pane ySplit="5" topLeftCell="A6" activePane="bottomLeft" state="frozen"/>
      <selection pane="bottomLeft" activeCell="A1" sqref="A1"/>
    </sheetView>
  </sheetViews>
  <sheetFormatPr baseColWidth="8" defaultRowHeight="15"/>
  <cols>
    <col width="13" customWidth="1" min="1" max="1"/>
    <col width="28" customWidth="1" min="2" max="2"/>
    <col width="30" customWidth="1" min="3" max="3"/>
    <col width="14" customWidth="1" min="4" max="4"/>
    <col width="14" customWidth="1" min="5" max="5"/>
    <col width="16" customWidth="1" min="6" max="6"/>
    <col width="12" customWidth="1" min="7" max="7"/>
    <col width="12" customWidth="1" min="8" max="8"/>
    <col width="14" customWidth="1" min="9" max="9"/>
    <col width="40" customWidth="1" min="10" max="10"/>
  </cols>
  <sheetData>
    <row r="1" ht="26" customHeight="1">
      <c r="A1" s="5" t="inlineStr">
        <is>
          <t>Gifts — 2026</t>
        </is>
      </c>
    </row>
    <row r="2">
      <c r="A2" s="6" t="inlineStr">
        <is>
          <t>One row per gift. Deductible amount and flags calculate from the type, amount, basis, and holding period.</t>
        </is>
      </c>
    </row>
    <row r="3">
      <c r="A3" s="7" t="inlineStr">
        <is>
          <t>Grott Luker &amp; Co. · Client Decision Support Toolkit · platform by BlueLine Advisors</t>
        </is>
      </c>
    </row>
    <row r="4">
      <c r="A4" s="8" t="inlineStr">
        <is>
          <t>Yellow cells are yours to fill in. White cells calculate themselves — leave them alone.</t>
        </is>
      </c>
    </row>
    <row r="5" ht="30" customHeight="1">
      <c r="A5" s="9" t="inlineStr">
        <is>
          <t>Date</t>
        </is>
      </c>
      <c r="B5" s="9" t="inlineStr">
        <is>
          <t>Organization</t>
        </is>
      </c>
      <c r="C5" s="9" t="inlineStr">
        <is>
          <t>Description</t>
        </is>
      </c>
      <c r="D5" s="9" t="inlineStr">
        <is>
          <t>Type</t>
        </is>
      </c>
      <c r="E5" s="9" t="inlineStr">
        <is>
          <t>Amount / FMV</t>
        </is>
      </c>
      <c r="F5" s="9" t="inlineStr">
        <is>
          <t>Cost basis (securities)</t>
        </is>
      </c>
      <c r="G5" s="9" t="inlineStr">
        <is>
          <t>Held &gt; 1 yr (Y/N)</t>
        </is>
      </c>
      <c r="H5" s="9" t="inlineStr">
        <is>
          <t>Receipt letter (Y/N)</t>
        </is>
      </c>
      <c r="I5" s="9" t="inlineStr">
        <is>
          <t>Deductible</t>
        </is>
      </c>
      <c r="J5" s="9" t="inlineStr">
        <is>
          <t>Flags</t>
        </is>
      </c>
    </row>
    <row r="6">
      <c r="A6" s="10" t="n"/>
      <c r="B6" s="11" t="n"/>
      <c r="C6" s="11" t="n"/>
      <c r="D6" s="11" t="n"/>
      <c r="E6" s="12" t="n"/>
      <c r="F6" s="12" t="n"/>
      <c r="G6" s="11" t="n"/>
      <c r="H6" s="11" t="n"/>
      <c r="I6" s="13">
        <f>IF(OR(D6="",E6=""),"",IF(D6="Securities",IF(G6="N",MIN(E6,IF(F6="",E6,F6)),E6),E6))</f>
        <v/>
      </c>
      <c r="J6" s="14">
        <f>IF(E6="","",TRIM(IF(AND(E6&gt;=250,H6&lt;&gt;"Y"),"Receipt letter needed. ","")&amp;IF(AND(D6&lt;&gt;"Cash",E6&gt;5000),"Appraisal likely (&gt;$5,000 non-cash). ","")&amp;IF(AND(D6="Securities",G6="N"),"Short-term: limited to basis. ","")))</f>
        <v/>
      </c>
    </row>
    <row r="7">
      <c r="A7" s="10" t="n"/>
      <c r="B7" s="11" t="n"/>
      <c r="C7" s="11" t="n"/>
      <c r="D7" s="11" t="n"/>
      <c r="E7" s="12" t="n"/>
      <c r="F7" s="12" t="n"/>
      <c r="G7" s="11" t="n"/>
      <c r="H7" s="11" t="n"/>
      <c r="I7" s="13">
        <f>IF(OR(D7="",E7=""),"",IF(D7="Securities",IF(G7="N",MIN(E7,IF(F7="",E7,F7)),E7),E7))</f>
        <v/>
      </c>
      <c r="J7" s="14">
        <f>IF(E7="","",TRIM(IF(AND(E7&gt;=250,H7&lt;&gt;"Y"),"Receipt letter needed. ","")&amp;IF(AND(D7&lt;&gt;"Cash",E7&gt;5000),"Appraisal likely (&gt;$5,000 non-cash). ","")&amp;IF(AND(D7="Securities",G7="N"),"Short-term: limited to basis. ","")))</f>
        <v/>
      </c>
    </row>
    <row r="8">
      <c r="A8" s="10" t="n"/>
      <c r="B8" s="11" t="n"/>
      <c r="C8" s="11" t="n"/>
      <c r="D8" s="11" t="n"/>
      <c r="E8" s="12" t="n"/>
      <c r="F8" s="12" t="n"/>
      <c r="G8" s="11" t="n"/>
      <c r="H8" s="11" t="n"/>
      <c r="I8" s="13">
        <f>IF(OR(D8="",E8=""),"",IF(D8="Securities",IF(G8="N",MIN(E8,IF(F8="",E8,F8)),E8),E8))</f>
        <v/>
      </c>
      <c r="J8" s="14">
        <f>IF(E8="","",TRIM(IF(AND(E8&gt;=250,H8&lt;&gt;"Y"),"Receipt letter needed. ","")&amp;IF(AND(D8&lt;&gt;"Cash",E8&gt;5000),"Appraisal likely (&gt;$5,000 non-cash). ","")&amp;IF(AND(D8="Securities",G8="N"),"Short-term: limited to basis. ","")))</f>
        <v/>
      </c>
    </row>
    <row r="9">
      <c r="A9" s="10" t="n"/>
      <c r="B9" s="11" t="n"/>
      <c r="C9" s="11" t="n"/>
      <c r="D9" s="11" t="n"/>
      <c r="E9" s="12" t="n"/>
      <c r="F9" s="12" t="n"/>
      <c r="G9" s="11" t="n"/>
      <c r="H9" s="11" t="n"/>
      <c r="I9" s="13">
        <f>IF(OR(D9="",E9=""),"",IF(D9="Securities",IF(G9="N",MIN(E9,IF(F9="",E9,F9)),E9),E9))</f>
        <v/>
      </c>
      <c r="J9" s="14">
        <f>IF(E9="","",TRIM(IF(AND(E9&gt;=250,H9&lt;&gt;"Y"),"Receipt letter needed. ","")&amp;IF(AND(D9&lt;&gt;"Cash",E9&gt;5000),"Appraisal likely (&gt;$5,000 non-cash). ","")&amp;IF(AND(D9="Securities",G9="N"),"Short-term: limited to basis. ","")))</f>
        <v/>
      </c>
    </row>
    <row r="10">
      <c r="A10" s="10" t="n"/>
      <c r="B10" s="11" t="n"/>
      <c r="C10" s="11" t="n"/>
      <c r="D10" s="11" t="n"/>
      <c r="E10" s="12" t="n"/>
      <c r="F10" s="12" t="n"/>
      <c r="G10" s="11" t="n"/>
      <c r="H10" s="11" t="n"/>
      <c r="I10" s="13">
        <f>IF(OR(D10="",E10=""),"",IF(D10="Securities",IF(G10="N",MIN(E10,IF(F10="",E10,F10)),E10),E10))</f>
        <v/>
      </c>
      <c r="J10" s="14">
        <f>IF(E10="","",TRIM(IF(AND(E10&gt;=250,H10&lt;&gt;"Y"),"Receipt letter needed. ","")&amp;IF(AND(D10&lt;&gt;"Cash",E10&gt;5000),"Appraisal likely (&gt;$5,000 non-cash). ","")&amp;IF(AND(D10="Securities",G10="N"),"Short-term: limited to basis. ","")))</f>
        <v/>
      </c>
    </row>
    <row r="11">
      <c r="A11" s="10" t="n"/>
      <c r="B11" s="11" t="n"/>
      <c r="C11" s="11" t="n"/>
      <c r="D11" s="11" t="n"/>
      <c r="E11" s="12" t="n"/>
      <c r="F11" s="12" t="n"/>
      <c r="G11" s="11" t="n"/>
      <c r="H11" s="11" t="n"/>
      <c r="I11" s="13">
        <f>IF(OR(D11="",E11=""),"",IF(D11="Securities",IF(G11="N",MIN(E11,IF(F11="",E11,F11)),E11),E11))</f>
        <v/>
      </c>
      <c r="J11" s="14">
        <f>IF(E11="","",TRIM(IF(AND(E11&gt;=250,H11&lt;&gt;"Y"),"Receipt letter needed. ","")&amp;IF(AND(D11&lt;&gt;"Cash",E11&gt;5000),"Appraisal likely (&gt;$5,000 non-cash). ","")&amp;IF(AND(D11="Securities",G11="N"),"Short-term: limited to basis. ","")))</f>
        <v/>
      </c>
    </row>
    <row r="12">
      <c r="A12" s="10" t="n"/>
      <c r="B12" s="11" t="n"/>
      <c r="C12" s="11" t="n"/>
      <c r="D12" s="11" t="n"/>
      <c r="E12" s="12" t="n"/>
      <c r="F12" s="12" t="n"/>
      <c r="G12" s="11" t="n"/>
      <c r="H12" s="11" t="n"/>
      <c r="I12" s="13">
        <f>IF(OR(D12="",E12=""),"",IF(D12="Securities",IF(G12="N",MIN(E12,IF(F12="",E12,F12)),E12),E12))</f>
        <v/>
      </c>
      <c r="J12" s="14">
        <f>IF(E12="","",TRIM(IF(AND(E12&gt;=250,H12&lt;&gt;"Y"),"Receipt letter needed. ","")&amp;IF(AND(D12&lt;&gt;"Cash",E12&gt;5000),"Appraisal likely (&gt;$5,000 non-cash). ","")&amp;IF(AND(D12="Securities",G12="N"),"Short-term: limited to basis. ","")))</f>
        <v/>
      </c>
    </row>
    <row r="13">
      <c r="A13" s="10" t="n"/>
      <c r="B13" s="11" t="n"/>
      <c r="C13" s="11" t="n"/>
      <c r="D13" s="11" t="n"/>
      <c r="E13" s="12" t="n"/>
      <c r="F13" s="12" t="n"/>
      <c r="G13" s="11" t="n"/>
      <c r="H13" s="11" t="n"/>
      <c r="I13" s="13">
        <f>IF(OR(D13="",E13=""),"",IF(D13="Securities",IF(G13="N",MIN(E13,IF(F13="",E13,F13)),E13),E13))</f>
        <v/>
      </c>
      <c r="J13" s="14">
        <f>IF(E13="","",TRIM(IF(AND(E13&gt;=250,H13&lt;&gt;"Y"),"Receipt letter needed. ","")&amp;IF(AND(D13&lt;&gt;"Cash",E13&gt;5000),"Appraisal likely (&gt;$5,000 non-cash). ","")&amp;IF(AND(D13="Securities",G13="N"),"Short-term: limited to basis. ","")))</f>
        <v/>
      </c>
    </row>
    <row r="14">
      <c r="A14" s="10" t="n"/>
      <c r="B14" s="11" t="n"/>
      <c r="C14" s="11" t="n"/>
      <c r="D14" s="11" t="n"/>
      <c r="E14" s="12" t="n"/>
      <c r="F14" s="12" t="n"/>
      <c r="G14" s="11" t="n"/>
      <c r="H14" s="11" t="n"/>
      <c r="I14" s="13">
        <f>IF(OR(D14="",E14=""),"",IF(D14="Securities",IF(G14="N",MIN(E14,IF(F14="",E14,F14)),E14),E14))</f>
        <v/>
      </c>
      <c r="J14" s="14">
        <f>IF(E14="","",TRIM(IF(AND(E14&gt;=250,H14&lt;&gt;"Y"),"Receipt letter needed. ","")&amp;IF(AND(D14&lt;&gt;"Cash",E14&gt;5000),"Appraisal likely (&gt;$5,000 non-cash). ","")&amp;IF(AND(D14="Securities",G14="N"),"Short-term: limited to basis. ","")))</f>
        <v/>
      </c>
    </row>
    <row r="15">
      <c r="A15" s="10" t="n"/>
      <c r="B15" s="11" t="n"/>
      <c r="C15" s="11" t="n"/>
      <c r="D15" s="11" t="n"/>
      <c r="E15" s="12" t="n"/>
      <c r="F15" s="12" t="n"/>
      <c r="G15" s="11" t="n"/>
      <c r="H15" s="11" t="n"/>
      <c r="I15" s="13">
        <f>IF(OR(D15="",E15=""),"",IF(D15="Securities",IF(G15="N",MIN(E15,IF(F15="",E15,F15)),E15),E15))</f>
        <v/>
      </c>
      <c r="J15" s="14">
        <f>IF(E15="","",TRIM(IF(AND(E15&gt;=250,H15&lt;&gt;"Y"),"Receipt letter needed. ","")&amp;IF(AND(D15&lt;&gt;"Cash",E15&gt;5000),"Appraisal likely (&gt;$5,000 non-cash). ","")&amp;IF(AND(D15="Securities",G15="N"),"Short-term: limited to basis. ","")))</f>
        <v/>
      </c>
    </row>
    <row r="16">
      <c r="A16" s="10" t="n"/>
      <c r="B16" s="11" t="n"/>
      <c r="C16" s="11" t="n"/>
      <c r="D16" s="11" t="n"/>
      <c r="E16" s="12" t="n"/>
      <c r="F16" s="12" t="n"/>
      <c r="G16" s="11" t="n"/>
      <c r="H16" s="11" t="n"/>
      <c r="I16" s="13">
        <f>IF(OR(D16="",E16=""),"",IF(D16="Securities",IF(G16="N",MIN(E16,IF(F16="",E16,F16)),E16),E16))</f>
        <v/>
      </c>
      <c r="J16" s="14">
        <f>IF(E16="","",TRIM(IF(AND(E16&gt;=250,H16&lt;&gt;"Y"),"Receipt letter needed. ","")&amp;IF(AND(D16&lt;&gt;"Cash",E16&gt;5000),"Appraisal likely (&gt;$5,000 non-cash). ","")&amp;IF(AND(D16="Securities",G16="N"),"Short-term: limited to basis. ","")))</f>
        <v/>
      </c>
    </row>
    <row r="17">
      <c r="A17" s="10" t="n"/>
      <c r="B17" s="11" t="n"/>
      <c r="C17" s="11" t="n"/>
      <c r="D17" s="11" t="n"/>
      <c r="E17" s="12" t="n"/>
      <c r="F17" s="12" t="n"/>
      <c r="G17" s="11" t="n"/>
      <c r="H17" s="11" t="n"/>
      <c r="I17" s="13">
        <f>IF(OR(D17="",E17=""),"",IF(D17="Securities",IF(G17="N",MIN(E17,IF(F17="",E17,F17)),E17),E17))</f>
        <v/>
      </c>
      <c r="J17" s="14">
        <f>IF(E17="","",TRIM(IF(AND(E17&gt;=250,H17&lt;&gt;"Y"),"Receipt letter needed. ","")&amp;IF(AND(D17&lt;&gt;"Cash",E17&gt;5000),"Appraisal likely (&gt;$5,000 non-cash). ","")&amp;IF(AND(D17="Securities",G17="N"),"Short-term: limited to basis. ","")))</f>
        <v/>
      </c>
    </row>
    <row r="18">
      <c r="A18" s="10" t="n"/>
      <c r="B18" s="11" t="n"/>
      <c r="C18" s="11" t="n"/>
      <c r="D18" s="11" t="n"/>
      <c r="E18" s="12" t="n"/>
      <c r="F18" s="12" t="n"/>
      <c r="G18" s="11" t="n"/>
      <c r="H18" s="11" t="n"/>
      <c r="I18" s="13">
        <f>IF(OR(D18="",E18=""),"",IF(D18="Securities",IF(G18="N",MIN(E18,IF(F18="",E18,F18)),E18),E18))</f>
        <v/>
      </c>
      <c r="J18" s="14">
        <f>IF(E18="","",TRIM(IF(AND(E18&gt;=250,H18&lt;&gt;"Y"),"Receipt letter needed. ","")&amp;IF(AND(D18&lt;&gt;"Cash",E18&gt;5000),"Appraisal likely (&gt;$5,000 non-cash). ","")&amp;IF(AND(D18="Securities",G18="N"),"Short-term: limited to basis. ","")))</f>
        <v/>
      </c>
    </row>
    <row r="19">
      <c r="A19" s="10" t="n"/>
      <c r="B19" s="11" t="n"/>
      <c r="C19" s="11" t="n"/>
      <c r="D19" s="11" t="n"/>
      <c r="E19" s="12" t="n"/>
      <c r="F19" s="12" t="n"/>
      <c r="G19" s="11" t="n"/>
      <c r="H19" s="11" t="n"/>
      <c r="I19" s="13">
        <f>IF(OR(D19="",E19=""),"",IF(D19="Securities",IF(G19="N",MIN(E19,IF(F19="",E19,F19)),E19),E19))</f>
        <v/>
      </c>
      <c r="J19" s="14">
        <f>IF(E19="","",TRIM(IF(AND(E19&gt;=250,H19&lt;&gt;"Y"),"Receipt letter needed. ","")&amp;IF(AND(D19&lt;&gt;"Cash",E19&gt;5000),"Appraisal likely (&gt;$5,000 non-cash). ","")&amp;IF(AND(D19="Securities",G19="N"),"Short-term: limited to basis. ","")))</f>
        <v/>
      </c>
    </row>
    <row r="20">
      <c r="A20" s="10" t="n"/>
      <c r="B20" s="11" t="n"/>
      <c r="C20" s="11" t="n"/>
      <c r="D20" s="11" t="n"/>
      <c r="E20" s="12" t="n"/>
      <c r="F20" s="12" t="n"/>
      <c r="G20" s="11" t="n"/>
      <c r="H20" s="11" t="n"/>
      <c r="I20" s="13">
        <f>IF(OR(D20="",E20=""),"",IF(D20="Securities",IF(G20="N",MIN(E20,IF(F20="",E20,F20)),E20),E20))</f>
        <v/>
      </c>
      <c r="J20" s="14">
        <f>IF(E20="","",TRIM(IF(AND(E20&gt;=250,H20&lt;&gt;"Y"),"Receipt letter needed. ","")&amp;IF(AND(D20&lt;&gt;"Cash",E20&gt;5000),"Appraisal likely (&gt;$5,000 non-cash). ","")&amp;IF(AND(D20="Securities",G20="N"),"Short-term: limited to basis. ","")))</f>
        <v/>
      </c>
    </row>
    <row r="21">
      <c r="A21" s="10" t="n"/>
      <c r="B21" s="11" t="n"/>
      <c r="C21" s="11" t="n"/>
      <c r="D21" s="11" t="n"/>
      <c r="E21" s="12" t="n"/>
      <c r="F21" s="12" t="n"/>
      <c r="G21" s="11" t="n"/>
      <c r="H21" s="11" t="n"/>
      <c r="I21" s="13">
        <f>IF(OR(D21="",E21=""),"",IF(D21="Securities",IF(G21="N",MIN(E21,IF(F21="",E21,F21)),E21),E21))</f>
        <v/>
      </c>
      <c r="J21" s="14">
        <f>IF(E21="","",TRIM(IF(AND(E21&gt;=250,H21&lt;&gt;"Y"),"Receipt letter needed. ","")&amp;IF(AND(D21&lt;&gt;"Cash",E21&gt;5000),"Appraisal likely (&gt;$5,000 non-cash). ","")&amp;IF(AND(D21="Securities",G21="N"),"Short-term: limited to basis. ","")))</f>
        <v/>
      </c>
    </row>
    <row r="22">
      <c r="A22" s="10" t="n"/>
      <c r="B22" s="11" t="n"/>
      <c r="C22" s="11" t="n"/>
      <c r="D22" s="11" t="n"/>
      <c r="E22" s="12" t="n"/>
      <c r="F22" s="12" t="n"/>
      <c r="G22" s="11" t="n"/>
      <c r="H22" s="11" t="n"/>
      <c r="I22" s="13">
        <f>IF(OR(D22="",E22=""),"",IF(D22="Securities",IF(G22="N",MIN(E22,IF(F22="",E22,F22)),E22),E22))</f>
        <v/>
      </c>
      <c r="J22" s="14">
        <f>IF(E22="","",TRIM(IF(AND(E22&gt;=250,H22&lt;&gt;"Y"),"Receipt letter needed. ","")&amp;IF(AND(D22&lt;&gt;"Cash",E22&gt;5000),"Appraisal likely (&gt;$5,000 non-cash). ","")&amp;IF(AND(D22="Securities",G22="N"),"Short-term: limited to basis. ","")))</f>
        <v/>
      </c>
    </row>
    <row r="23">
      <c r="A23" s="10" t="n"/>
      <c r="B23" s="11" t="n"/>
      <c r="C23" s="11" t="n"/>
      <c r="D23" s="11" t="n"/>
      <c r="E23" s="12" t="n"/>
      <c r="F23" s="12" t="n"/>
      <c r="G23" s="11" t="n"/>
      <c r="H23" s="11" t="n"/>
      <c r="I23" s="13">
        <f>IF(OR(D23="",E23=""),"",IF(D23="Securities",IF(G23="N",MIN(E23,IF(F23="",E23,F23)),E23),E23))</f>
        <v/>
      </c>
      <c r="J23" s="14">
        <f>IF(E23="","",TRIM(IF(AND(E23&gt;=250,H23&lt;&gt;"Y"),"Receipt letter needed. ","")&amp;IF(AND(D23&lt;&gt;"Cash",E23&gt;5000),"Appraisal likely (&gt;$5,000 non-cash). ","")&amp;IF(AND(D23="Securities",G23="N"),"Short-term: limited to basis. ","")))</f>
        <v/>
      </c>
    </row>
    <row r="24">
      <c r="A24" s="10" t="n"/>
      <c r="B24" s="11" t="n"/>
      <c r="C24" s="11" t="n"/>
      <c r="D24" s="11" t="n"/>
      <c r="E24" s="12" t="n"/>
      <c r="F24" s="12" t="n"/>
      <c r="G24" s="11" t="n"/>
      <c r="H24" s="11" t="n"/>
      <c r="I24" s="13">
        <f>IF(OR(D24="",E24=""),"",IF(D24="Securities",IF(G24="N",MIN(E24,IF(F24="",E24,F24)),E24),E24))</f>
        <v/>
      </c>
      <c r="J24" s="14">
        <f>IF(E24="","",TRIM(IF(AND(E24&gt;=250,H24&lt;&gt;"Y"),"Receipt letter needed. ","")&amp;IF(AND(D24&lt;&gt;"Cash",E24&gt;5000),"Appraisal likely (&gt;$5,000 non-cash). ","")&amp;IF(AND(D24="Securities",G24="N"),"Short-term: limited to basis. ","")))</f>
        <v/>
      </c>
    </row>
    <row r="25">
      <c r="A25" s="10" t="n"/>
      <c r="B25" s="11" t="n"/>
      <c r="C25" s="11" t="n"/>
      <c r="D25" s="11" t="n"/>
      <c r="E25" s="12" t="n"/>
      <c r="F25" s="12" t="n"/>
      <c r="G25" s="11" t="n"/>
      <c r="H25" s="11" t="n"/>
      <c r="I25" s="13">
        <f>IF(OR(D25="",E25=""),"",IF(D25="Securities",IF(G25="N",MIN(E25,IF(F25="",E25,F25)),E25),E25))</f>
        <v/>
      </c>
      <c r="J25" s="14">
        <f>IF(E25="","",TRIM(IF(AND(E25&gt;=250,H25&lt;&gt;"Y"),"Receipt letter needed. ","")&amp;IF(AND(D25&lt;&gt;"Cash",E25&gt;5000),"Appraisal likely (&gt;$5,000 non-cash). ","")&amp;IF(AND(D25="Securities",G25="N"),"Short-term: limited to basis. ","")))</f>
        <v/>
      </c>
    </row>
    <row r="26">
      <c r="A26" s="10" t="n"/>
      <c r="B26" s="11" t="n"/>
      <c r="C26" s="11" t="n"/>
      <c r="D26" s="11" t="n"/>
      <c r="E26" s="12" t="n"/>
      <c r="F26" s="12" t="n"/>
      <c r="G26" s="11" t="n"/>
      <c r="H26" s="11" t="n"/>
      <c r="I26" s="13">
        <f>IF(OR(D26="",E26=""),"",IF(D26="Securities",IF(G26="N",MIN(E26,IF(F26="",E26,F26)),E26),E26))</f>
        <v/>
      </c>
      <c r="J26" s="14">
        <f>IF(E26="","",TRIM(IF(AND(E26&gt;=250,H26&lt;&gt;"Y"),"Receipt letter needed. ","")&amp;IF(AND(D26&lt;&gt;"Cash",E26&gt;5000),"Appraisal likely (&gt;$5,000 non-cash). ","")&amp;IF(AND(D26="Securities",G26="N"),"Short-term: limited to basis. ","")))</f>
        <v/>
      </c>
    </row>
    <row r="27">
      <c r="A27" s="10" t="n"/>
      <c r="B27" s="11" t="n"/>
      <c r="C27" s="11" t="n"/>
      <c r="D27" s="11" t="n"/>
      <c r="E27" s="12" t="n"/>
      <c r="F27" s="12" t="n"/>
      <c r="G27" s="11" t="n"/>
      <c r="H27" s="11" t="n"/>
      <c r="I27" s="13">
        <f>IF(OR(D27="",E27=""),"",IF(D27="Securities",IF(G27="N",MIN(E27,IF(F27="",E27,F27)),E27),E27))</f>
        <v/>
      </c>
      <c r="J27" s="14">
        <f>IF(E27="","",TRIM(IF(AND(E27&gt;=250,H27&lt;&gt;"Y"),"Receipt letter needed. ","")&amp;IF(AND(D27&lt;&gt;"Cash",E27&gt;5000),"Appraisal likely (&gt;$5,000 non-cash). ","")&amp;IF(AND(D27="Securities",G27="N"),"Short-term: limited to basis. ","")))</f>
        <v/>
      </c>
    </row>
    <row r="28">
      <c r="A28" s="10" t="n"/>
      <c r="B28" s="11" t="n"/>
      <c r="C28" s="11" t="n"/>
      <c r="D28" s="11" t="n"/>
      <c r="E28" s="12" t="n"/>
      <c r="F28" s="12" t="n"/>
      <c r="G28" s="11" t="n"/>
      <c r="H28" s="11" t="n"/>
      <c r="I28" s="13">
        <f>IF(OR(D28="",E28=""),"",IF(D28="Securities",IF(G28="N",MIN(E28,IF(F28="",E28,F28)),E28),E28))</f>
        <v/>
      </c>
      <c r="J28" s="14">
        <f>IF(E28="","",TRIM(IF(AND(E28&gt;=250,H28&lt;&gt;"Y"),"Receipt letter needed. ","")&amp;IF(AND(D28&lt;&gt;"Cash",E28&gt;5000),"Appraisal likely (&gt;$5,000 non-cash). ","")&amp;IF(AND(D28="Securities",G28="N"),"Short-term: limited to basis. ","")))</f>
        <v/>
      </c>
    </row>
    <row r="29">
      <c r="A29" s="10" t="n"/>
      <c r="B29" s="11" t="n"/>
      <c r="C29" s="11" t="n"/>
      <c r="D29" s="11" t="n"/>
      <c r="E29" s="12" t="n"/>
      <c r="F29" s="12" t="n"/>
      <c r="G29" s="11" t="n"/>
      <c r="H29" s="11" t="n"/>
      <c r="I29" s="13">
        <f>IF(OR(D29="",E29=""),"",IF(D29="Securities",IF(G29="N",MIN(E29,IF(F29="",E29,F29)),E29),E29))</f>
        <v/>
      </c>
      <c r="J29" s="14">
        <f>IF(E29="","",TRIM(IF(AND(E29&gt;=250,H29&lt;&gt;"Y"),"Receipt letter needed. ","")&amp;IF(AND(D29&lt;&gt;"Cash",E29&gt;5000),"Appraisal likely (&gt;$5,000 non-cash). ","")&amp;IF(AND(D29="Securities",G29="N"),"Short-term: limited to basis. ","")))</f>
        <v/>
      </c>
    </row>
    <row r="30">
      <c r="A30" s="10" t="n"/>
      <c r="B30" s="11" t="n"/>
      <c r="C30" s="11" t="n"/>
      <c r="D30" s="11" t="n"/>
      <c r="E30" s="12" t="n"/>
      <c r="F30" s="12" t="n"/>
      <c r="G30" s="11" t="n"/>
      <c r="H30" s="11" t="n"/>
      <c r="I30" s="13">
        <f>IF(OR(D30="",E30=""),"",IF(D30="Securities",IF(G30="N",MIN(E30,IF(F30="",E30,F30)),E30),E30))</f>
        <v/>
      </c>
      <c r="J30" s="14">
        <f>IF(E30="","",TRIM(IF(AND(E30&gt;=250,H30&lt;&gt;"Y"),"Receipt letter needed. ","")&amp;IF(AND(D30&lt;&gt;"Cash",E30&gt;5000),"Appraisal likely (&gt;$5,000 non-cash). ","")&amp;IF(AND(D30="Securities",G30="N"),"Short-term: limited to basis. ","")))</f>
        <v/>
      </c>
    </row>
    <row r="31">
      <c r="A31" s="10" t="n"/>
      <c r="B31" s="11" t="n"/>
      <c r="C31" s="11" t="n"/>
      <c r="D31" s="11" t="n"/>
      <c r="E31" s="12" t="n"/>
      <c r="F31" s="12" t="n"/>
      <c r="G31" s="11" t="n"/>
      <c r="H31" s="11" t="n"/>
      <c r="I31" s="13">
        <f>IF(OR(D31="",E31=""),"",IF(D31="Securities",IF(G31="N",MIN(E31,IF(F31="",E31,F31)),E31),E31))</f>
        <v/>
      </c>
      <c r="J31" s="14">
        <f>IF(E31="","",TRIM(IF(AND(E31&gt;=250,H31&lt;&gt;"Y"),"Receipt letter needed. ","")&amp;IF(AND(D31&lt;&gt;"Cash",E31&gt;5000),"Appraisal likely (&gt;$5,000 non-cash). ","")&amp;IF(AND(D31="Securities",G31="N"),"Short-term: limited to basis. ","")))</f>
        <v/>
      </c>
    </row>
    <row r="32">
      <c r="A32" s="10" t="n"/>
      <c r="B32" s="11" t="n"/>
      <c r="C32" s="11" t="n"/>
      <c r="D32" s="11" t="n"/>
      <c r="E32" s="12" t="n"/>
      <c r="F32" s="12" t="n"/>
      <c r="G32" s="11" t="n"/>
      <c r="H32" s="11" t="n"/>
      <c r="I32" s="13">
        <f>IF(OR(D32="",E32=""),"",IF(D32="Securities",IF(G32="N",MIN(E32,IF(F32="",E32,F32)),E32),E32))</f>
        <v/>
      </c>
      <c r="J32" s="14">
        <f>IF(E32="","",TRIM(IF(AND(E32&gt;=250,H32&lt;&gt;"Y"),"Receipt letter needed. ","")&amp;IF(AND(D32&lt;&gt;"Cash",E32&gt;5000),"Appraisal likely (&gt;$5,000 non-cash). ","")&amp;IF(AND(D32="Securities",G32="N"),"Short-term: limited to basis. ","")))</f>
        <v/>
      </c>
    </row>
    <row r="33">
      <c r="A33" s="10" t="n"/>
      <c r="B33" s="11" t="n"/>
      <c r="C33" s="11" t="n"/>
      <c r="D33" s="11" t="n"/>
      <c r="E33" s="12" t="n"/>
      <c r="F33" s="12" t="n"/>
      <c r="G33" s="11" t="n"/>
      <c r="H33" s="11" t="n"/>
      <c r="I33" s="13">
        <f>IF(OR(D33="",E33=""),"",IF(D33="Securities",IF(G33="N",MIN(E33,IF(F33="",E33,F33)),E33),E33))</f>
        <v/>
      </c>
      <c r="J33" s="14">
        <f>IF(E33="","",TRIM(IF(AND(E33&gt;=250,H33&lt;&gt;"Y"),"Receipt letter needed. ","")&amp;IF(AND(D33&lt;&gt;"Cash",E33&gt;5000),"Appraisal likely (&gt;$5,000 non-cash). ","")&amp;IF(AND(D33="Securities",G33="N"),"Short-term: limited to basis. ","")))</f>
        <v/>
      </c>
    </row>
    <row r="34">
      <c r="A34" s="10" t="n"/>
      <c r="B34" s="11" t="n"/>
      <c r="C34" s="11" t="n"/>
      <c r="D34" s="11" t="n"/>
      <c r="E34" s="12" t="n"/>
      <c r="F34" s="12" t="n"/>
      <c r="G34" s="11" t="n"/>
      <c r="H34" s="11" t="n"/>
      <c r="I34" s="13">
        <f>IF(OR(D34="",E34=""),"",IF(D34="Securities",IF(G34="N",MIN(E34,IF(F34="",E34,F34)),E34),E34))</f>
        <v/>
      </c>
      <c r="J34" s="14">
        <f>IF(E34="","",TRIM(IF(AND(E34&gt;=250,H34&lt;&gt;"Y"),"Receipt letter needed. ","")&amp;IF(AND(D34&lt;&gt;"Cash",E34&gt;5000),"Appraisal likely (&gt;$5,000 non-cash). ","")&amp;IF(AND(D34="Securities",G34="N"),"Short-term: limited to basis. ","")))</f>
        <v/>
      </c>
    </row>
    <row r="35">
      <c r="A35" s="10" t="n"/>
      <c r="B35" s="11" t="n"/>
      <c r="C35" s="11" t="n"/>
      <c r="D35" s="11" t="n"/>
      <c r="E35" s="12" t="n"/>
      <c r="F35" s="12" t="n"/>
      <c r="G35" s="11" t="n"/>
      <c r="H35" s="11" t="n"/>
      <c r="I35" s="13">
        <f>IF(OR(D35="",E35=""),"",IF(D35="Securities",IF(G35="N",MIN(E35,IF(F35="",E35,F35)),E35),E35))</f>
        <v/>
      </c>
      <c r="J35" s="14">
        <f>IF(E35="","",TRIM(IF(AND(E35&gt;=250,H35&lt;&gt;"Y"),"Receipt letter needed. ","")&amp;IF(AND(D35&lt;&gt;"Cash",E35&gt;5000),"Appraisal likely (&gt;$5,000 non-cash). ","")&amp;IF(AND(D35="Securities",G35="N"),"Short-term: limited to basis. ","")))</f>
        <v/>
      </c>
    </row>
    <row r="36">
      <c r="A36" s="10" t="n"/>
      <c r="B36" s="11" t="n"/>
      <c r="C36" s="11" t="n"/>
      <c r="D36" s="11" t="n"/>
      <c r="E36" s="12" t="n"/>
      <c r="F36" s="12" t="n"/>
      <c r="G36" s="11" t="n"/>
      <c r="H36" s="11" t="n"/>
      <c r="I36" s="13">
        <f>IF(OR(D36="",E36=""),"",IF(D36="Securities",IF(G36="N",MIN(E36,IF(F36="",E36,F36)),E36),E36))</f>
        <v/>
      </c>
      <c r="J36" s="14">
        <f>IF(E36="","",TRIM(IF(AND(E36&gt;=250,H36&lt;&gt;"Y"),"Receipt letter needed. ","")&amp;IF(AND(D36&lt;&gt;"Cash",E36&gt;5000),"Appraisal likely (&gt;$5,000 non-cash). ","")&amp;IF(AND(D36="Securities",G36="N"),"Short-term: limited to basis. ","")))</f>
        <v/>
      </c>
    </row>
    <row r="37">
      <c r="A37" s="10" t="n"/>
      <c r="B37" s="11" t="n"/>
      <c r="C37" s="11" t="n"/>
      <c r="D37" s="11" t="n"/>
      <c r="E37" s="12" t="n"/>
      <c r="F37" s="12" t="n"/>
      <c r="G37" s="11" t="n"/>
      <c r="H37" s="11" t="n"/>
      <c r="I37" s="13">
        <f>IF(OR(D37="",E37=""),"",IF(D37="Securities",IF(G37="N",MIN(E37,IF(F37="",E37,F37)),E37),E37))</f>
        <v/>
      </c>
      <c r="J37" s="14">
        <f>IF(E37="","",TRIM(IF(AND(E37&gt;=250,H37&lt;&gt;"Y"),"Receipt letter needed. ","")&amp;IF(AND(D37&lt;&gt;"Cash",E37&gt;5000),"Appraisal likely (&gt;$5,000 non-cash). ","")&amp;IF(AND(D37="Securities",G37="N"),"Short-term: limited to basis. ","")))</f>
        <v/>
      </c>
    </row>
    <row r="38">
      <c r="A38" s="10" t="n"/>
      <c r="B38" s="11" t="n"/>
      <c r="C38" s="11" t="n"/>
      <c r="D38" s="11" t="n"/>
      <c r="E38" s="12" t="n"/>
      <c r="F38" s="12" t="n"/>
      <c r="G38" s="11" t="n"/>
      <c r="H38" s="11" t="n"/>
      <c r="I38" s="13">
        <f>IF(OR(D38="",E38=""),"",IF(D38="Securities",IF(G38="N",MIN(E38,IF(F38="",E38,F38)),E38),E38))</f>
        <v/>
      </c>
      <c r="J38" s="14">
        <f>IF(E38="","",TRIM(IF(AND(E38&gt;=250,H38&lt;&gt;"Y"),"Receipt letter needed. ","")&amp;IF(AND(D38&lt;&gt;"Cash",E38&gt;5000),"Appraisal likely (&gt;$5,000 non-cash). ","")&amp;IF(AND(D38="Securities",G38="N"),"Short-term: limited to basis. ","")))</f>
        <v/>
      </c>
    </row>
    <row r="39">
      <c r="A39" s="10" t="n"/>
      <c r="B39" s="11" t="n"/>
      <c r="C39" s="11" t="n"/>
      <c r="D39" s="11" t="n"/>
      <c r="E39" s="12" t="n"/>
      <c r="F39" s="12" t="n"/>
      <c r="G39" s="11" t="n"/>
      <c r="H39" s="11" t="n"/>
      <c r="I39" s="13">
        <f>IF(OR(D39="",E39=""),"",IF(D39="Securities",IF(G39="N",MIN(E39,IF(F39="",E39,F39)),E39),E39))</f>
        <v/>
      </c>
      <c r="J39" s="14">
        <f>IF(E39="","",TRIM(IF(AND(E39&gt;=250,H39&lt;&gt;"Y"),"Receipt letter needed. ","")&amp;IF(AND(D39&lt;&gt;"Cash",E39&gt;5000),"Appraisal likely (&gt;$5,000 non-cash). ","")&amp;IF(AND(D39="Securities",G39="N"),"Short-term: limited to basis. ","")))</f>
        <v/>
      </c>
    </row>
    <row r="40">
      <c r="A40" s="10" t="n"/>
      <c r="B40" s="11" t="n"/>
      <c r="C40" s="11" t="n"/>
      <c r="D40" s="11" t="n"/>
      <c r="E40" s="12" t="n"/>
      <c r="F40" s="12" t="n"/>
      <c r="G40" s="11" t="n"/>
      <c r="H40" s="11" t="n"/>
      <c r="I40" s="13">
        <f>IF(OR(D40="",E40=""),"",IF(D40="Securities",IF(G40="N",MIN(E40,IF(F40="",E40,F40)),E40),E40))</f>
        <v/>
      </c>
      <c r="J40" s="14">
        <f>IF(E40="","",TRIM(IF(AND(E40&gt;=250,H40&lt;&gt;"Y"),"Receipt letter needed. ","")&amp;IF(AND(D40&lt;&gt;"Cash",E40&gt;5000),"Appraisal likely (&gt;$5,000 non-cash). ","")&amp;IF(AND(D40="Securities",G40="N"),"Short-term: limited to basis. ","")))</f>
        <v/>
      </c>
    </row>
    <row r="41">
      <c r="A41" s="10" t="n"/>
      <c r="B41" s="11" t="n"/>
      <c r="C41" s="11" t="n"/>
      <c r="D41" s="11" t="n"/>
      <c r="E41" s="12" t="n"/>
      <c r="F41" s="12" t="n"/>
      <c r="G41" s="11" t="n"/>
      <c r="H41" s="11" t="n"/>
      <c r="I41" s="13">
        <f>IF(OR(D41="",E41=""),"",IF(D41="Securities",IF(G41="N",MIN(E41,IF(F41="",E41,F41)),E41),E41))</f>
        <v/>
      </c>
      <c r="J41" s="14">
        <f>IF(E41="","",TRIM(IF(AND(E41&gt;=250,H41&lt;&gt;"Y"),"Receipt letter needed. ","")&amp;IF(AND(D41&lt;&gt;"Cash",E41&gt;5000),"Appraisal likely (&gt;$5,000 non-cash). ","")&amp;IF(AND(D41="Securities",G41="N"),"Short-term: limited to basis. ","")))</f>
        <v/>
      </c>
    </row>
    <row r="42">
      <c r="A42" s="10" t="n"/>
      <c r="B42" s="11" t="n"/>
      <c r="C42" s="11" t="n"/>
      <c r="D42" s="11" t="n"/>
      <c r="E42" s="12" t="n"/>
      <c r="F42" s="12" t="n"/>
      <c r="G42" s="11" t="n"/>
      <c r="H42" s="11" t="n"/>
      <c r="I42" s="13">
        <f>IF(OR(D42="",E42=""),"",IF(D42="Securities",IF(G42="N",MIN(E42,IF(F42="",E42,F42)),E42),E42))</f>
        <v/>
      </c>
      <c r="J42" s="14">
        <f>IF(E42="","",TRIM(IF(AND(E42&gt;=250,H42&lt;&gt;"Y"),"Receipt letter needed. ","")&amp;IF(AND(D42&lt;&gt;"Cash",E42&gt;5000),"Appraisal likely (&gt;$5,000 non-cash). ","")&amp;IF(AND(D42="Securities",G42="N"),"Short-term: limited to basis. ","")))</f>
        <v/>
      </c>
    </row>
    <row r="43">
      <c r="A43" s="10" t="n"/>
      <c r="B43" s="11" t="n"/>
      <c r="C43" s="11" t="n"/>
      <c r="D43" s="11" t="n"/>
      <c r="E43" s="12" t="n"/>
      <c r="F43" s="12" t="n"/>
      <c r="G43" s="11" t="n"/>
      <c r="H43" s="11" t="n"/>
      <c r="I43" s="13">
        <f>IF(OR(D43="",E43=""),"",IF(D43="Securities",IF(G43="N",MIN(E43,IF(F43="",E43,F43)),E43),E43))</f>
        <v/>
      </c>
      <c r="J43" s="14">
        <f>IF(E43="","",TRIM(IF(AND(E43&gt;=250,H43&lt;&gt;"Y"),"Receipt letter needed. ","")&amp;IF(AND(D43&lt;&gt;"Cash",E43&gt;5000),"Appraisal likely (&gt;$5,000 non-cash). ","")&amp;IF(AND(D43="Securities",G43="N"),"Short-term: limited to basis. ","")))</f>
        <v/>
      </c>
    </row>
    <row r="44">
      <c r="A44" s="10" t="n"/>
      <c r="B44" s="11" t="n"/>
      <c r="C44" s="11" t="n"/>
      <c r="D44" s="11" t="n"/>
      <c r="E44" s="12" t="n"/>
      <c r="F44" s="12" t="n"/>
      <c r="G44" s="11" t="n"/>
      <c r="H44" s="11" t="n"/>
      <c r="I44" s="13">
        <f>IF(OR(D44="",E44=""),"",IF(D44="Securities",IF(G44="N",MIN(E44,IF(F44="",E44,F44)),E44),E44))</f>
        <v/>
      </c>
      <c r="J44" s="14">
        <f>IF(E44="","",TRIM(IF(AND(E44&gt;=250,H44&lt;&gt;"Y"),"Receipt letter needed. ","")&amp;IF(AND(D44&lt;&gt;"Cash",E44&gt;5000),"Appraisal likely (&gt;$5,000 non-cash). ","")&amp;IF(AND(D44="Securities",G44="N"),"Short-term: limited to basis. ","")))</f>
        <v/>
      </c>
    </row>
    <row r="45">
      <c r="A45" s="10" t="n"/>
      <c r="B45" s="11" t="n"/>
      <c r="C45" s="11" t="n"/>
      <c r="D45" s="11" t="n"/>
      <c r="E45" s="12" t="n"/>
      <c r="F45" s="12" t="n"/>
      <c r="G45" s="11" t="n"/>
      <c r="H45" s="11" t="n"/>
      <c r="I45" s="13">
        <f>IF(OR(D45="",E45=""),"",IF(D45="Securities",IF(G45="N",MIN(E45,IF(F45="",E45,F45)),E45),E45))</f>
        <v/>
      </c>
      <c r="J45" s="14">
        <f>IF(E45="","",TRIM(IF(AND(E45&gt;=250,H45&lt;&gt;"Y"),"Receipt letter needed. ","")&amp;IF(AND(D45&lt;&gt;"Cash",E45&gt;5000),"Appraisal likely (&gt;$5,000 non-cash). ","")&amp;IF(AND(D45="Securities",G45="N"),"Short-term: limited to basis. ","")))</f>
        <v/>
      </c>
    </row>
    <row r="46">
      <c r="A46" s="10" t="n"/>
      <c r="B46" s="11" t="n"/>
      <c r="C46" s="11" t="n"/>
      <c r="D46" s="11" t="n"/>
      <c r="E46" s="12" t="n"/>
      <c r="F46" s="12" t="n"/>
      <c r="G46" s="11" t="n"/>
      <c r="H46" s="11" t="n"/>
      <c r="I46" s="13">
        <f>IF(OR(D46="",E46=""),"",IF(D46="Securities",IF(G46="N",MIN(E46,IF(F46="",E46,F46)),E46),E46))</f>
        <v/>
      </c>
      <c r="J46" s="14">
        <f>IF(E46="","",TRIM(IF(AND(E46&gt;=250,H46&lt;&gt;"Y"),"Receipt letter needed. ","")&amp;IF(AND(D46&lt;&gt;"Cash",E46&gt;5000),"Appraisal likely (&gt;$5,000 non-cash). ","")&amp;IF(AND(D46="Securities",G46="N"),"Short-term: limited to basis. ","")))</f>
        <v/>
      </c>
    </row>
    <row r="47">
      <c r="A47" s="10" t="n"/>
      <c r="B47" s="11" t="n"/>
      <c r="C47" s="11" t="n"/>
      <c r="D47" s="11" t="n"/>
      <c r="E47" s="12" t="n"/>
      <c r="F47" s="12" t="n"/>
      <c r="G47" s="11" t="n"/>
      <c r="H47" s="11" t="n"/>
      <c r="I47" s="13">
        <f>IF(OR(D47="",E47=""),"",IF(D47="Securities",IF(G47="N",MIN(E47,IF(F47="",E47,F47)),E47),E47))</f>
        <v/>
      </c>
      <c r="J47" s="14">
        <f>IF(E47="","",TRIM(IF(AND(E47&gt;=250,H47&lt;&gt;"Y"),"Receipt letter needed. ","")&amp;IF(AND(D47&lt;&gt;"Cash",E47&gt;5000),"Appraisal likely (&gt;$5,000 non-cash). ","")&amp;IF(AND(D47="Securities",G47="N"),"Short-term: limited to basis. ","")))</f>
        <v/>
      </c>
    </row>
    <row r="48">
      <c r="A48" s="10" t="n"/>
      <c r="B48" s="11" t="n"/>
      <c r="C48" s="11" t="n"/>
      <c r="D48" s="11" t="n"/>
      <c r="E48" s="12" t="n"/>
      <c r="F48" s="12" t="n"/>
      <c r="G48" s="11" t="n"/>
      <c r="H48" s="11" t="n"/>
      <c r="I48" s="13">
        <f>IF(OR(D48="",E48=""),"",IF(D48="Securities",IF(G48="N",MIN(E48,IF(F48="",E48,F48)),E48),E48))</f>
        <v/>
      </c>
      <c r="J48" s="14">
        <f>IF(E48="","",TRIM(IF(AND(E48&gt;=250,H48&lt;&gt;"Y"),"Receipt letter needed. ","")&amp;IF(AND(D48&lt;&gt;"Cash",E48&gt;5000),"Appraisal likely (&gt;$5,000 non-cash). ","")&amp;IF(AND(D48="Securities",G48="N"),"Short-term: limited to basis. ","")))</f>
        <v/>
      </c>
    </row>
    <row r="49">
      <c r="A49" s="10" t="n"/>
      <c r="B49" s="11" t="n"/>
      <c r="C49" s="11" t="n"/>
      <c r="D49" s="11" t="n"/>
      <c r="E49" s="12" t="n"/>
      <c r="F49" s="12" t="n"/>
      <c r="G49" s="11" t="n"/>
      <c r="H49" s="11" t="n"/>
      <c r="I49" s="13">
        <f>IF(OR(D49="",E49=""),"",IF(D49="Securities",IF(G49="N",MIN(E49,IF(F49="",E49,F49)),E49),E49))</f>
        <v/>
      </c>
      <c r="J49" s="14">
        <f>IF(E49="","",TRIM(IF(AND(E49&gt;=250,H49&lt;&gt;"Y"),"Receipt letter needed. ","")&amp;IF(AND(D49&lt;&gt;"Cash",E49&gt;5000),"Appraisal likely (&gt;$5,000 non-cash). ","")&amp;IF(AND(D49="Securities",G49="N"),"Short-term: limited to basis. ","")))</f>
        <v/>
      </c>
    </row>
    <row r="50">
      <c r="A50" s="10" t="n"/>
      <c r="B50" s="11" t="n"/>
      <c r="C50" s="11" t="n"/>
      <c r="D50" s="11" t="n"/>
      <c r="E50" s="12" t="n"/>
      <c r="F50" s="12" t="n"/>
      <c r="G50" s="11" t="n"/>
      <c r="H50" s="11" t="n"/>
      <c r="I50" s="13">
        <f>IF(OR(D50="",E50=""),"",IF(D50="Securities",IF(G50="N",MIN(E50,IF(F50="",E50,F50)),E50),E50))</f>
        <v/>
      </c>
      <c r="J50" s="14">
        <f>IF(E50="","",TRIM(IF(AND(E50&gt;=250,H50&lt;&gt;"Y"),"Receipt letter needed. ","")&amp;IF(AND(D50&lt;&gt;"Cash",E50&gt;5000),"Appraisal likely (&gt;$5,000 non-cash). ","")&amp;IF(AND(D50="Securities",G50="N"),"Short-term: limited to basis. ","")))</f>
        <v/>
      </c>
    </row>
    <row r="51">
      <c r="A51" s="10" t="n"/>
      <c r="B51" s="11" t="n"/>
      <c r="C51" s="11" t="n"/>
      <c r="D51" s="11" t="n"/>
      <c r="E51" s="12" t="n"/>
      <c r="F51" s="12" t="n"/>
      <c r="G51" s="11" t="n"/>
      <c r="H51" s="11" t="n"/>
      <c r="I51" s="13">
        <f>IF(OR(D51="",E51=""),"",IF(D51="Securities",IF(G51="N",MIN(E51,IF(F51="",E51,F51)),E51),E51))</f>
        <v/>
      </c>
      <c r="J51" s="14">
        <f>IF(E51="","",TRIM(IF(AND(E51&gt;=250,H51&lt;&gt;"Y"),"Receipt letter needed. ","")&amp;IF(AND(D51&lt;&gt;"Cash",E51&gt;5000),"Appraisal likely (&gt;$5,000 non-cash). ","")&amp;IF(AND(D51="Securities",G51="N"),"Short-term: limited to basis. ","")))</f>
        <v/>
      </c>
    </row>
    <row r="52">
      <c r="A52" s="10" t="n"/>
      <c r="B52" s="11" t="n"/>
      <c r="C52" s="11" t="n"/>
      <c r="D52" s="11" t="n"/>
      <c r="E52" s="12" t="n"/>
      <c r="F52" s="12" t="n"/>
      <c r="G52" s="11" t="n"/>
      <c r="H52" s="11" t="n"/>
      <c r="I52" s="13">
        <f>IF(OR(D52="",E52=""),"",IF(D52="Securities",IF(G52="N",MIN(E52,IF(F52="",E52,F52)),E52),E52))</f>
        <v/>
      </c>
      <c r="J52" s="14">
        <f>IF(E52="","",TRIM(IF(AND(E52&gt;=250,H52&lt;&gt;"Y"),"Receipt letter needed. ","")&amp;IF(AND(D52&lt;&gt;"Cash",E52&gt;5000),"Appraisal likely (&gt;$5,000 non-cash). ","")&amp;IF(AND(D52="Securities",G52="N"),"Short-term: limited to basis. ","")))</f>
        <v/>
      </c>
    </row>
    <row r="53">
      <c r="A53" s="10" t="n"/>
      <c r="B53" s="11" t="n"/>
      <c r="C53" s="11" t="n"/>
      <c r="D53" s="11" t="n"/>
      <c r="E53" s="12" t="n"/>
      <c r="F53" s="12" t="n"/>
      <c r="G53" s="11" t="n"/>
      <c r="H53" s="11" t="n"/>
      <c r="I53" s="13">
        <f>IF(OR(D53="",E53=""),"",IF(D53="Securities",IF(G53="N",MIN(E53,IF(F53="",E53,F53)),E53),E53))</f>
        <v/>
      </c>
      <c r="J53" s="14">
        <f>IF(E53="","",TRIM(IF(AND(E53&gt;=250,H53&lt;&gt;"Y"),"Receipt letter needed. ","")&amp;IF(AND(D53&lt;&gt;"Cash",E53&gt;5000),"Appraisal likely (&gt;$5,000 non-cash). ","")&amp;IF(AND(D53="Securities",G53="N"),"Short-term: limited to basis. ","")))</f>
        <v/>
      </c>
    </row>
    <row r="54">
      <c r="A54" s="10" t="n"/>
      <c r="B54" s="11" t="n"/>
      <c r="C54" s="11" t="n"/>
      <c r="D54" s="11" t="n"/>
      <c r="E54" s="12" t="n"/>
      <c r="F54" s="12" t="n"/>
      <c r="G54" s="11" t="n"/>
      <c r="H54" s="11" t="n"/>
      <c r="I54" s="13">
        <f>IF(OR(D54="",E54=""),"",IF(D54="Securities",IF(G54="N",MIN(E54,IF(F54="",E54,F54)),E54),E54))</f>
        <v/>
      </c>
      <c r="J54" s="14">
        <f>IF(E54="","",TRIM(IF(AND(E54&gt;=250,H54&lt;&gt;"Y"),"Receipt letter needed. ","")&amp;IF(AND(D54&lt;&gt;"Cash",E54&gt;5000),"Appraisal likely (&gt;$5,000 non-cash). ","")&amp;IF(AND(D54="Securities",G54="N"),"Short-term: limited to basis. ","")))</f>
        <v/>
      </c>
    </row>
    <row r="55">
      <c r="A55" s="10" t="n"/>
      <c r="B55" s="11" t="n"/>
      <c r="C55" s="11" t="n"/>
      <c r="D55" s="11" t="n"/>
      <c r="E55" s="12" t="n"/>
      <c r="F55" s="12" t="n"/>
      <c r="G55" s="11" t="n"/>
      <c r="H55" s="11" t="n"/>
      <c r="I55" s="13">
        <f>IF(OR(D55="",E55=""),"",IF(D55="Securities",IF(G55="N",MIN(E55,IF(F55="",E55,F55)),E55),E55))</f>
        <v/>
      </c>
      <c r="J55" s="14">
        <f>IF(E55="","",TRIM(IF(AND(E55&gt;=250,H55&lt;&gt;"Y"),"Receipt letter needed. ","")&amp;IF(AND(D55&lt;&gt;"Cash",E55&gt;5000),"Appraisal likely (&gt;$5,000 non-cash). ","")&amp;IF(AND(D55="Securities",G55="N"),"Short-term: limited to basis. ","")))</f>
        <v/>
      </c>
    </row>
    <row r="56">
      <c r="A56" s="10" t="n"/>
      <c r="B56" s="11" t="n"/>
      <c r="C56" s="11" t="n"/>
      <c r="D56" s="11" t="n"/>
      <c r="E56" s="12" t="n"/>
      <c r="F56" s="12" t="n"/>
      <c r="G56" s="11" t="n"/>
      <c r="H56" s="11" t="n"/>
      <c r="I56" s="13">
        <f>IF(OR(D56="",E56=""),"",IF(D56="Securities",IF(G56="N",MIN(E56,IF(F56="",E56,F56)),E56),E56))</f>
        <v/>
      </c>
      <c r="J56" s="14">
        <f>IF(E56="","",TRIM(IF(AND(E56&gt;=250,H56&lt;&gt;"Y"),"Receipt letter needed. ","")&amp;IF(AND(D56&lt;&gt;"Cash",E56&gt;5000),"Appraisal likely (&gt;$5,000 non-cash). ","")&amp;IF(AND(D56="Securities",G56="N"),"Short-term: limited to basis. ","")))</f>
        <v/>
      </c>
    </row>
    <row r="57">
      <c r="A57" s="10" t="n"/>
      <c r="B57" s="11" t="n"/>
      <c r="C57" s="11" t="n"/>
      <c r="D57" s="11" t="n"/>
      <c r="E57" s="12" t="n"/>
      <c r="F57" s="12" t="n"/>
      <c r="G57" s="11" t="n"/>
      <c r="H57" s="11" t="n"/>
      <c r="I57" s="13">
        <f>IF(OR(D57="",E57=""),"",IF(D57="Securities",IF(G57="N",MIN(E57,IF(F57="",E57,F57)),E57),E57))</f>
        <v/>
      </c>
      <c r="J57" s="14">
        <f>IF(E57="","",TRIM(IF(AND(E57&gt;=250,H57&lt;&gt;"Y"),"Receipt letter needed. ","")&amp;IF(AND(D57&lt;&gt;"Cash",E57&gt;5000),"Appraisal likely (&gt;$5,000 non-cash). ","")&amp;IF(AND(D57="Securities",G57="N"),"Short-term: limited to basis. ","")))</f>
        <v/>
      </c>
    </row>
    <row r="58">
      <c r="A58" s="10" t="n"/>
      <c r="B58" s="11" t="n"/>
      <c r="C58" s="11" t="n"/>
      <c r="D58" s="11" t="n"/>
      <c r="E58" s="12" t="n"/>
      <c r="F58" s="12" t="n"/>
      <c r="G58" s="11" t="n"/>
      <c r="H58" s="11" t="n"/>
      <c r="I58" s="13">
        <f>IF(OR(D58="",E58=""),"",IF(D58="Securities",IF(G58="N",MIN(E58,IF(F58="",E58,F58)),E58),E58))</f>
        <v/>
      </c>
      <c r="J58" s="14">
        <f>IF(E58="","",TRIM(IF(AND(E58&gt;=250,H58&lt;&gt;"Y"),"Receipt letter needed. ","")&amp;IF(AND(D58&lt;&gt;"Cash",E58&gt;5000),"Appraisal likely (&gt;$5,000 non-cash). ","")&amp;IF(AND(D58="Securities",G58="N"),"Short-term: limited to basis. ","")))</f>
        <v/>
      </c>
    </row>
    <row r="59">
      <c r="A59" s="10" t="n"/>
      <c r="B59" s="11" t="n"/>
      <c r="C59" s="11" t="n"/>
      <c r="D59" s="11" t="n"/>
      <c r="E59" s="12" t="n"/>
      <c r="F59" s="12" t="n"/>
      <c r="G59" s="11" t="n"/>
      <c r="H59" s="11" t="n"/>
      <c r="I59" s="13">
        <f>IF(OR(D59="",E59=""),"",IF(D59="Securities",IF(G59="N",MIN(E59,IF(F59="",E59,F59)),E59),E59))</f>
        <v/>
      </c>
      <c r="J59" s="14">
        <f>IF(E59="","",TRIM(IF(AND(E59&gt;=250,H59&lt;&gt;"Y"),"Receipt letter needed. ","")&amp;IF(AND(D59&lt;&gt;"Cash",E59&gt;5000),"Appraisal likely (&gt;$5,000 non-cash). ","")&amp;IF(AND(D59="Securities",G59="N"),"Short-term: limited to basis. ","")))</f>
        <v/>
      </c>
    </row>
    <row r="60">
      <c r="A60" s="10" t="n"/>
      <c r="B60" s="11" t="n"/>
      <c r="C60" s="11" t="n"/>
      <c r="D60" s="11" t="n"/>
      <c r="E60" s="12" t="n"/>
      <c r="F60" s="12" t="n"/>
      <c r="G60" s="11" t="n"/>
      <c r="H60" s="11" t="n"/>
      <c r="I60" s="13">
        <f>IF(OR(D60="",E60=""),"",IF(D60="Securities",IF(G60="N",MIN(E60,IF(F60="",E60,F60)),E60),E60))</f>
        <v/>
      </c>
      <c r="J60" s="14">
        <f>IF(E60="","",TRIM(IF(AND(E60&gt;=250,H60&lt;&gt;"Y"),"Receipt letter needed. ","")&amp;IF(AND(D60&lt;&gt;"Cash",E60&gt;5000),"Appraisal likely (&gt;$5,000 non-cash). ","")&amp;IF(AND(D60="Securities",G60="N"),"Short-term: limited to basis. ","")))</f>
        <v/>
      </c>
    </row>
    <row r="61">
      <c r="A61" s="10" t="n"/>
      <c r="B61" s="11" t="n"/>
      <c r="C61" s="11" t="n"/>
      <c r="D61" s="11" t="n"/>
      <c r="E61" s="12" t="n"/>
      <c r="F61" s="12" t="n"/>
      <c r="G61" s="11" t="n"/>
      <c r="H61" s="11" t="n"/>
      <c r="I61" s="13">
        <f>IF(OR(D61="",E61=""),"",IF(D61="Securities",IF(G61="N",MIN(E61,IF(F61="",E61,F61)),E61),E61))</f>
        <v/>
      </c>
      <c r="J61" s="14">
        <f>IF(E61="","",TRIM(IF(AND(E61&gt;=250,H61&lt;&gt;"Y"),"Receipt letter needed. ","")&amp;IF(AND(D61&lt;&gt;"Cash",E61&gt;5000),"Appraisal likely (&gt;$5,000 non-cash). ","")&amp;IF(AND(D61="Securities",G61="N"),"Short-term: limited to basis. ","")))</f>
        <v/>
      </c>
    </row>
    <row r="62">
      <c r="A62" s="10" t="n"/>
      <c r="B62" s="11" t="n"/>
      <c r="C62" s="11" t="n"/>
      <c r="D62" s="11" t="n"/>
      <c r="E62" s="12" t="n"/>
      <c r="F62" s="12" t="n"/>
      <c r="G62" s="11" t="n"/>
      <c r="H62" s="11" t="n"/>
      <c r="I62" s="13">
        <f>IF(OR(D62="",E62=""),"",IF(D62="Securities",IF(G62="N",MIN(E62,IF(F62="",E62,F62)),E62),E62))</f>
        <v/>
      </c>
      <c r="J62" s="14">
        <f>IF(E62="","",TRIM(IF(AND(E62&gt;=250,H62&lt;&gt;"Y"),"Receipt letter needed. ","")&amp;IF(AND(D62&lt;&gt;"Cash",E62&gt;5000),"Appraisal likely (&gt;$5,000 non-cash). ","")&amp;IF(AND(D62="Securities",G62="N"),"Short-term: limited to basis. ","")))</f>
        <v/>
      </c>
    </row>
    <row r="63">
      <c r="A63" s="10" t="n"/>
      <c r="B63" s="11" t="n"/>
      <c r="C63" s="11" t="n"/>
      <c r="D63" s="11" t="n"/>
      <c r="E63" s="12" t="n"/>
      <c r="F63" s="12" t="n"/>
      <c r="G63" s="11" t="n"/>
      <c r="H63" s="11" t="n"/>
      <c r="I63" s="13">
        <f>IF(OR(D63="",E63=""),"",IF(D63="Securities",IF(G63="N",MIN(E63,IF(F63="",E63,F63)),E63),E63))</f>
        <v/>
      </c>
      <c r="J63" s="14">
        <f>IF(E63="","",TRIM(IF(AND(E63&gt;=250,H63&lt;&gt;"Y"),"Receipt letter needed. ","")&amp;IF(AND(D63&lt;&gt;"Cash",E63&gt;5000),"Appraisal likely (&gt;$5,000 non-cash). ","")&amp;IF(AND(D63="Securities",G63="N"),"Short-term: limited to basis. ","")))</f>
        <v/>
      </c>
    </row>
    <row r="64">
      <c r="A64" s="10" t="n"/>
      <c r="B64" s="11" t="n"/>
      <c r="C64" s="11" t="n"/>
      <c r="D64" s="11" t="n"/>
      <c r="E64" s="12" t="n"/>
      <c r="F64" s="12" t="n"/>
      <c r="G64" s="11" t="n"/>
      <c r="H64" s="11" t="n"/>
      <c r="I64" s="13">
        <f>IF(OR(D64="",E64=""),"",IF(D64="Securities",IF(G64="N",MIN(E64,IF(F64="",E64,F64)),E64),E64))</f>
        <v/>
      </c>
      <c r="J64" s="14">
        <f>IF(E64="","",TRIM(IF(AND(E64&gt;=250,H64&lt;&gt;"Y"),"Receipt letter needed. ","")&amp;IF(AND(D64&lt;&gt;"Cash",E64&gt;5000),"Appraisal likely (&gt;$5,000 non-cash). ","")&amp;IF(AND(D64="Securities",G64="N"),"Short-term: limited to basis. ","")))</f>
        <v/>
      </c>
    </row>
    <row r="65">
      <c r="A65" s="10" t="n"/>
      <c r="B65" s="11" t="n"/>
      <c r="C65" s="11" t="n"/>
      <c r="D65" s="11" t="n"/>
      <c r="E65" s="12" t="n"/>
      <c r="F65" s="12" t="n"/>
      <c r="G65" s="11" t="n"/>
      <c r="H65" s="11" t="n"/>
      <c r="I65" s="13">
        <f>IF(OR(D65="",E65=""),"",IF(D65="Securities",IF(G65="N",MIN(E65,IF(F65="",E65,F65)),E65),E65))</f>
        <v/>
      </c>
      <c r="J65" s="14">
        <f>IF(E65="","",TRIM(IF(AND(E65&gt;=250,H65&lt;&gt;"Y"),"Receipt letter needed. ","")&amp;IF(AND(D65&lt;&gt;"Cash",E65&gt;5000),"Appraisal likely (&gt;$5,000 non-cash). ","")&amp;IF(AND(D65="Securities",G65="N"),"Short-term: limited to basis. ","")))</f>
        <v/>
      </c>
    </row>
    <row r="66">
      <c r="A66" s="10" t="n"/>
      <c r="B66" s="11" t="n"/>
      <c r="C66" s="11" t="n"/>
      <c r="D66" s="11" t="n"/>
      <c r="E66" s="12" t="n"/>
      <c r="F66" s="12" t="n"/>
      <c r="G66" s="11" t="n"/>
      <c r="H66" s="11" t="n"/>
      <c r="I66" s="13">
        <f>IF(OR(D66="",E66=""),"",IF(D66="Securities",IF(G66="N",MIN(E66,IF(F66="",E66,F66)),E66),E66))</f>
        <v/>
      </c>
      <c r="J66" s="14">
        <f>IF(E66="","",TRIM(IF(AND(E66&gt;=250,H66&lt;&gt;"Y"),"Receipt letter needed. ","")&amp;IF(AND(D66&lt;&gt;"Cash",E66&gt;5000),"Appraisal likely (&gt;$5,000 non-cash). ","")&amp;IF(AND(D66="Securities",G66="N"),"Short-term: limited to basis. ","")))</f>
        <v/>
      </c>
    </row>
    <row r="67">
      <c r="A67" s="10" t="n"/>
      <c r="B67" s="11" t="n"/>
      <c r="C67" s="11" t="n"/>
      <c r="D67" s="11" t="n"/>
      <c r="E67" s="12" t="n"/>
      <c r="F67" s="12" t="n"/>
      <c r="G67" s="11" t="n"/>
      <c r="H67" s="11" t="n"/>
      <c r="I67" s="13">
        <f>IF(OR(D67="",E67=""),"",IF(D67="Securities",IF(G67="N",MIN(E67,IF(F67="",E67,F67)),E67),E67))</f>
        <v/>
      </c>
      <c r="J67" s="14">
        <f>IF(E67="","",TRIM(IF(AND(E67&gt;=250,H67&lt;&gt;"Y"),"Receipt letter needed. ","")&amp;IF(AND(D67&lt;&gt;"Cash",E67&gt;5000),"Appraisal likely (&gt;$5,000 non-cash). ","")&amp;IF(AND(D67="Securities",G67="N"),"Short-term: limited to basis. ","")))</f>
        <v/>
      </c>
    </row>
    <row r="68">
      <c r="A68" s="10" t="n"/>
      <c r="B68" s="11" t="n"/>
      <c r="C68" s="11" t="n"/>
      <c r="D68" s="11" t="n"/>
      <c r="E68" s="12" t="n"/>
      <c r="F68" s="12" t="n"/>
      <c r="G68" s="11" t="n"/>
      <c r="H68" s="11" t="n"/>
      <c r="I68" s="13">
        <f>IF(OR(D68="",E68=""),"",IF(D68="Securities",IF(G68="N",MIN(E68,IF(F68="",E68,F68)),E68),E68))</f>
        <v/>
      </c>
      <c r="J68" s="14">
        <f>IF(E68="","",TRIM(IF(AND(E68&gt;=250,H68&lt;&gt;"Y"),"Receipt letter needed. ","")&amp;IF(AND(D68&lt;&gt;"Cash",E68&gt;5000),"Appraisal likely (&gt;$5,000 non-cash). ","")&amp;IF(AND(D68="Securities",G68="N"),"Short-term: limited to basis. ","")))</f>
        <v/>
      </c>
    </row>
    <row r="69">
      <c r="A69" s="10" t="n"/>
      <c r="B69" s="11" t="n"/>
      <c r="C69" s="11" t="n"/>
      <c r="D69" s="11" t="n"/>
      <c r="E69" s="12" t="n"/>
      <c r="F69" s="12" t="n"/>
      <c r="G69" s="11" t="n"/>
      <c r="H69" s="11" t="n"/>
      <c r="I69" s="13">
        <f>IF(OR(D69="",E69=""),"",IF(D69="Securities",IF(G69="N",MIN(E69,IF(F69="",E69,F69)),E69),E69))</f>
        <v/>
      </c>
      <c r="J69" s="14">
        <f>IF(E69="","",TRIM(IF(AND(E69&gt;=250,H69&lt;&gt;"Y"),"Receipt letter needed. ","")&amp;IF(AND(D69&lt;&gt;"Cash",E69&gt;5000),"Appraisal likely (&gt;$5,000 non-cash). ","")&amp;IF(AND(D69="Securities",G69="N"),"Short-term: limited to basis. ","")))</f>
        <v/>
      </c>
    </row>
    <row r="70">
      <c r="A70" s="10" t="n"/>
      <c r="B70" s="11" t="n"/>
      <c r="C70" s="11" t="n"/>
      <c r="D70" s="11" t="n"/>
      <c r="E70" s="12" t="n"/>
      <c r="F70" s="12" t="n"/>
      <c r="G70" s="11" t="n"/>
      <c r="H70" s="11" t="n"/>
      <c r="I70" s="13">
        <f>IF(OR(D70="",E70=""),"",IF(D70="Securities",IF(G70="N",MIN(E70,IF(F70="",E70,F70)),E70),E70))</f>
        <v/>
      </c>
      <c r="J70" s="14">
        <f>IF(E70="","",TRIM(IF(AND(E70&gt;=250,H70&lt;&gt;"Y"),"Receipt letter needed. ","")&amp;IF(AND(D70&lt;&gt;"Cash",E70&gt;5000),"Appraisal likely (&gt;$5,000 non-cash). ","")&amp;IF(AND(D70="Securities",G70="N"),"Short-term: limited to basis. ","")))</f>
        <v/>
      </c>
    </row>
    <row r="71">
      <c r="A71" s="10" t="n"/>
      <c r="B71" s="11" t="n"/>
      <c r="C71" s="11" t="n"/>
      <c r="D71" s="11" t="n"/>
      <c r="E71" s="12" t="n"/>
      <c r="F71" s="12" t="n"/>
      <c r="G71" s="11" t="n"/>
      <c r="H71" s="11" t="n"/>
      <c r="I71" s="13">
        <f>IF(OR(D71="",E71=""),"",IF(D71="Securities",IF(G71="N",MIN(E71,IF(F71="",E71,F71)),E71),E71))</f>
        <v/>
      </c>
      <c r="J71" s="14">
        <f>IF(E71="","",TRIM(IF(AND(E71&gt;=250,H71&lt;&gt;"Y"),"Receipt letter needed. ","")&amp;IF(AND(D71&lt;&gt;"Cash",E71&gt;5000),"Appraisal likely (&gt;$5,000 non-cash). ","")&amp;IF(AND(D71="Securities",G71="N"),"Short-term: limited to basis. ","")))</f>
        <v/>
      </c>
    </row>
    <row r="72">
      <c r="A72" s="10" t="n"/>
      <c r="B72" s="11" t="n"/>
      <c r="C72" s="11" t="n"/>
      <c r="D72" s="11" t="n"/>
      <c r="E72" s="12" t="n"/>
      <c r="F72" s="12" t="n"/>
      <c r="G72" s="11" t="n"/>
      <c r="H72" s="11" t="n"/>
      <c r="I72" s="13">
        <f>IF(OR(D72="",E72=""),"",IF(D72="Securities",IF(G72="N",MIN(E72,IF(F72="",E72,F72)),E72),E72))</f>
        <v/>
      </c>
      <c r="J72" s="14">
        <f>IF(E72="","",TRIM(IF(AND(E72&gt;=250,H72&lt;&gt;"Y"),"Receipt letter needed. ","")&amp;IF(AND(D72&lt;&gt;"Cash",E72&gt;5000),"Appraisal likely (&gt;$5,000 non-cash). ","")&amp;IF(AND(D72="Securities",G72="N"),"Short-term: limited to basis. ","")))</f>
        <v/>
      </c>
    </row>
    <row r="73">
      <c r="A73" s="10" t="n"/>
      <c r="B73" s="11" t="n"/>
      <c r="C73" s="11" t="n"/>
      <c r="D73" s="11" t="n"/>
      <c r="E73" s="12" t="n"/>
      <c r="F73" s="12" t="n"/>
      <c r="G73" s="11" t="n"/>
      <c r="H73" s="11" t="n"/>
      <c r="I73" s="13">
        <f>IF(OR(D73="",E73=""),"",IF(D73="Securities",IF(G73="N",MIN(E73,IF(F73="",E73,F73)),E73),E73))</f>
        <v/>
      </c>
      <c r="J73" s="14">
        <f>IF(E73="","",TRIM(IF(AND(E73&gt;=250,H73&lt;&gt;"Y"),"Receipt letter needed. ","")&amp;IF(AND(D73&lt;&gt;"Cash",E73&gt;5000),"Appraisal likely (&gt;$5,000 non-cash). ","")&amp;IF(AND(D73="Securities",G73="N"),"Short-term: limited to basis. ","")))</f>
        <v/>
      </c>
    </row>
    <row r="74">
      <c r="A74" s="10" t="n"/>
      <c r="B74" s="11" t="n"/>
      <c r="C74" s="11" t="n"/>
      <c r="D74" s="11" t="n"/>
      <c r="E74" s="12" t="n"/>
      <c r="F74" s="12" t="n"/>
      <c r="G74" s="11" t="n"/>
      <c r="H74" s="11" t="n"/>
      <c r="I74" s="13">
        <f>IF(OR(D74="",E74=""),"",IF(D74="Securities",IF(G74="N",MIN(E74,IF(F74="",E74,F74)),E74),E74))</f>
        <v/>
      </c>
      <c r="J74" s="14">
        <f>IF(E74="","",TRIM(IF(AND(E74&gt;=250,H74&lt;&gt;"Y"),"Receipt letter needed. ","")&amp;IF(AND(D74&lt;&gt;"Cash",E74&gt;5000),"Appraisal likely (&gt;$5,000 non-cash). ","")&amp;IF(AND(D74="Securities",G74="N"),"Short-term: limited to basis. ","")))</f>
        <v/>
      </c>
    </row>
    <row r="75">
      <c r="A75" s="10" t="n"/>
      <c r="B75" s="11" t="n"/>
      <c r="C75" s="11" t="n"/>
      <c r="D75" s="11" t="n"/>
      <c r="E75" s="12" t="n"/>
      <c r="F75" s="12" t="n"/>
      <c r="G75" s="11" t="n"/>
      <c r="H75" s="11" t="n"/>
      <c r="I75" s="13">
        <f>IF(OR(D75="",E75=""),"",IF(D75="Securities",IF(G75="N",MIN(E75,IF(F75="",E75,F75)),E75),E75))</f>
        <v/>
      </c>
      <c r="J75" s="14">
        <f>IF(E75="","",TRIM(IF(AND(E75&gt;=250,H75&lt;&gt;"Y"),"Receipt letter needed. ","")&amp;IF(AND(D75&lt;&gt;"Cash",E75&gt;5000),"Appraisal likely (&gt;$5,000 non-cash). ","")&amp;IF(AND(D75="Securities",G75="N"),"Short-term: limited to basis. ","")))</f>
        <v/>
      </c>
    </row>
    <row r="76">
      <c r="A76" s="10" t="n"/>
      <c r="B76" s="11" t="n"/>
      <c r="C76" s="11" t="n"/>
      <c r="D76" s="11" t="n"/>
      <c r="E76" s="12" t="n"/>
      <c r="F76" s="12" t="n"/>
      <c r="G76" s="11" t="n"/>
      <c r="H76" s="11" t="n"/>
      <c r="I76" s="13">
        <f>IF(OR(D76="",E76=""),"",IF(D76="Securities",IF(G76="N",MIN(E76,IF(F76="",E76,F76)),E76),E76))</f>
        <v/>
      </c>
      <c r="J76" s="14">
        <f>IF(E76="","",TRIM(IF(AND(E76&gt;=250,H76&lt;&gt;"Y"),"Receipt letter needed. ","")&amp;IF(AND(D76&lt;&gt;"Cash",E76&gt;5000),"Appraisal likely (&gt;$5,000 non-cash). ","")&amp;IF(AND(D76="Securities",G76="N"),"Short-term: limited to basis. ","")))</f>
        <v/>
      </c>
    </row>
    <row r="77">
      <c r="A77" s="10" t="n"/>
      <c r="B77" s="11" t="n"/>
      <c r="C77" s="11" t="n"/>
      <c r="D77" s="11" t="n"/>
      <c r="E77" s="12" t="n"/>
      <c r="F77" s="12" t="n"/>
      <c r="G77" s="11" t="n"/>
      <c r="H77" s="11" t="n"/>
      <c r="I77" s="13">
        <f>IF(OR(D77="",E77=""),"",IF(D77="Securities",IF(G77="N",MIN(E77,IF(F77="",E77,F77)),E77),E77))</f>
        <v/>
      </c>
      <c r="J77" s="14">
        <f>IF(E77="","",TRIM(IF(AND(E77&gt;=250,H77&lt;&gt;"Y"),"Receipt letter needed. ","")&amp;IF(AND(D77&lt;&gt;"Cash",E77&gt;5000),"Appraisal likely (&gt;$5,000 non-cash). ","")&amp;IF(AND(D77="Securities",G77="N"),"Short-term: limited to basis. ","")))</f>
        <v/>
      </c>
    </row>
    <row r="78">
      <c r="A78" s="10" t="n"/>
      <c r="B78" s="11" t="n"/>
      <c r="C78" s="11" t="n"/>
      <c r="D78" s="11" t="n"/>
      <c r="E78" s="12" t="n"/>
      <c r="F78" s="12" t="n"/>
      <c r="G78" s="11" t="n"/>
      <c r="H78" s="11" t="n"/>
      <c r="I78" s="13">
        <f>IF(OR(D78="",E78=""),"",IF(D78="Securities",IF(G78="N",MIN(E78,IF(F78="",E78,F78)),E78),E78))</f>
        <v/>
      </c>
      <c r="J78" s="14">
        <f>IF(E78="","",TRIM(IF(AND(E78&gt;=250,H78&lt;&gt;"Y"),"Receipt letter needed. ","")&amp;IF(AND(D78&lt;&gt;"Cash",E78&gt;5000),"Appraisal likely (&gt;$5,000 non-cash). ","")&amp;IF(AND(D78="Securities",G78="N"),"Short-term: limited to basis. ","")))</f>
        <v/>
      </c>
    </row>
    <row r="79">
      <c r="A79" s="10" t="n"/>
      <c r="B79" s="11" t="n"/>
      <c r="C79" s="11" t="n"/>
      <c r="D79" s="11" t="n"/>
      <c r="E79" s="12" t="n"/>
      <c r="F79" s="12" t="n"/>
      <c r="G79" s="11" t="n"/>
      <c r="H79" s="11" t="n"/>
      <c r="I79" s="13">
        <f>IF(OR(D79="",E79=""),"",IF(D79="Securities",IF(G79="N",MIN(E79,IF(F79="",E79,F79)),E79),E79))</f>
        <v/>
      </c>
      <c r="J79" s="14">
        <f>IF(E79="","",TRIM(IF(AND(E79&gt;=250,H79&lt;&gt;"Y"),"Receipt letter needed. ","")&amp;IF(AND(D79&lt;&gt;"Cash",E79&gt;5000),"Appraisal likely (&gt;$5,000 non-cash). ","")&amp;IF(AND(D79="Securities",G79="N"),"Short-term: limited to basis. ","")))</f>
        <v/>
      </c>
    </row>
    <row r="80">
      <c r="A80" s="10" t="n"/>
      <c r="B80" s="11" t="n"/>
      <c r="C80" s="11" t="n"/>
      <c r="D80" s="11" t="n"/>
      <c r="E80" s="12" t="n"/>
      <c r="F80" s="12" t="n"/>
      <c r="G80" s="11" t="n"/>
      <c r="H80" s="11" t="n"/>
      <c r="I80" s="13">
        <f>IF(OR(D80="",E80=""),"",IF(D80="Securities",IF(G80="N",MIN(E80,IF(F80="",E80,F80)),E80),E80))</f>
        <v/>
      </c>
      <c r="J80" s="14">
        <f>IF(E80="","",TRIM(IF(AND(E80&gt;=250,H80&lt;&gt;"Y"),"Receipt letter needed. ","")&amp;IF(AND(D80&lt;&gt;"Cash",E80&gt;5000),"Appraisal likely (&gt;$5,000 non-cash). ","")&amp;IF(AND(D80="Securities",G80="N"),"Short-term: limited to basis. ","")))</f>
        <v/>
      </c>
    </row>
    <row r="81">
      <c r="A81" s="10" t="n"/>
      <c r="B81" s="11" t="n"/>
      <c r="C81" s="11" t="n"/>
      <c r="D81" s="11" t="n"/>
      <c r="E81" s="12" t="n"/>
      <c r="F81" s="12" t="n"/>
      <c r="G81" s="11" t="n"/>
      <c r="H81" s="11" t="n"/>
      <c r="I81" s="13">
        <f>IF(OR(D81="",E81=""),"",IF(D81="Securities",IF(G81="N",MIN(E81,IF(F81="",E81,F81)),E81),E81))</f>
        <v/>
      </c>
      <c r="J81" s="14">
        <f>IF(E81="","",TRIM(IF(AND(E81&gt;=250,H81&lt;&gt;"Y"),"Receipt letter needed. ","")&amp;IF(AND(D81&lt;&gt;"Cash",E81&gt;5000),"Appraisal likely (&gt;$5,000 non-cash). ","")&amp;IF(AND(D81="Securities",G81="N"),"Short-term: limited to basis. ","")))</f>
        <v/>
      </c>
    </row>
    <row r="82">
      <c r="A82" s="10" t="n"/>
      <c r="B82" s="11" t="n"/>
      <c r="C82" s="11" t="n"/>
      <c r="D82" s="11" t="n"/>
      <c r="E82" s="12" t="n"/>
      <c r="F82" s="12" t="n"/>
      <c r="G82" s="11" t="n"/>
      <c r="H82" s="11" t="n"/>
      <c r="I82" s="13">
        <f>IF(OR(D82="",E82=""),"",IF(D82="Securities",IF(G82="N",MIN(E82,IF(F82="",E82,F82)),E82),E82))</f>
        <v/>
      </c>
      <c r="J82" s="14">
        <f>IF(E82="","",TRIM(IF(AND(E82&gt;=250,H82&lt;&gt;"Y"),"Receipt letter needed. ","")&amp;IF(AND(D82&lt;&gt;"Cash",E82&gt;5000),"Appraisal likely (&gt;$5,000 non-cash). ","")&amp;IF(AND(D82="Securities",G82="N"),"Short-term: limited to basis. ","")))</f>
        <v/>
      </c>
    </row>
    <row r="83">
      <c r="A83" s="10" t="n"/>
      <c r="B83" s="11" t="n"/>
      <c r="C83" s="11" t="n"/>
      <c r="D83" s="11" t="n"/>
      <c r="E83" s="12" t="n"/>
      <c r="F83" s="12" t="n"/>
      <c r="G83" s="11" t="n"/>
      <c r="H83" s="11" t="n"/>
      <c r="I83" s="13">
        <f>IF(OR(D83="",E83=""),"",IF(D83="Securities",IF(G83="N",MIN(E83,IF(F83="",E83,F83)),E83),E83))</f>
        <v/>
      </c>
      <c r="J83" s="14">
        <f>IF(E83="","",TRIM(IF(AND(E83&gt;=250,H83&lt;&gt;"Y"),"Receipt letter needed. ","")&amp;IF(AND(D83&lt;&gt;"Cash",E83&gt;5000),"Appraisal likely (&gt;$5,000 non-cash). ","")&amp;IF(AND(D83="Securities",G83="N"),"Short-term: limited to basis. ","")))</f>
        <v/>
      </c>
    </row>
    <row r="84">
      <c r="A84" s="10" t="n"/>
      <c r="B84" s="11" t="n"/>
      <c r="C84" s="11" t="n"/>
      <c r="D84" s="11" t="n"/>
      <c r="E84" s="12" t="n"/>
      <c r="F84" s="12" t="n"/>
      <c r="G84" s="11" t="n"/>
      <c r="H84" s="11" t="n"/>
      <c r="I84" s="13">
        <f>IF(OR(D84="",E84=""),"",IF(D84="Securities",IF(G84="N",MIN(E84,IF(F84="",E84,F84)),E84),E84))</f>
        <v/>
      </c>
      <c r="J84" s="14">
        <f>IF(E84="","",TRIM(IF(AND(E84&gt;=250,H84&lt;&gt;"Y"),"Receipt letter needed. ","")&amp;IF(AND(D84&lt;&gt;"Cash",E84&gt;5000),"Appraisal likely (&gt;$5,000 non-cash). ","")&amp;IF(AND(D84="Securities",G84="N"),"Short-term: limited to basis. ","")))</f>
        <v/>
      </c>
    </row>
    <row r="85">
      <c r="A85" s="10" t="n"/>
      <c r="B85" s="11" t="n"/>
      <c r="C85" s="11" t="n"/>
      <c r="D85" s="11" t="n"/>
      <c r="E85" s="12" t="n"/>
      <c r="F85" s="12" t="n"/>
      <c r="G85" s="11" t="n"/>
      <c r="H85" s="11" t="n"/>
      <c r="I85" s="13">
        <f>IF(OR(D85="",E85=""),"",IF(D85="Securities",IF(G85="N",MIN(E85,IF(F85="",E85,F85)),E85),E85))</f>
        <v/>
      </c>
      <c r="J85" s="14">
        <f>IF(E85="","",TRIM(IF(AND(E85&gt;=250,H85&lt;&gt;"Y"),"Receipt letter needed. ","")&amp;IF(AND(D85&lt;&gt;"Cash",E85&gt;5000),"Appraisal likely (&gt;$5,000 non-cash). ","")&amp;IF(AND(D85="Securities",G85="N"),"Short-term: limited to basis. ","")))</f>
        <v/>
      </c>
    </row>
    <row r="86">
      <c r="A86" s="10" t="n"/>
      <c r="B86" s="11" t="n"/>
      <c r="C86" s="11" t="n"/>
      <c r="D86" s="11" t="n"/>
      <c r="E86" s="12" t="n"/>
      <c r="F86" s="12" t="n"/>
      <c r="G86" s="11" t="n"/>
      <c r="H86" s="11" t="n"/>
      <c r="I86" s="13">
        <f>IF(OR(D86="",E86=""),"",IF(D86="Securities",IF(G86="N",MIN(E86,IF(F86="",E86,F86)),E86),E86))</f>
        <v/>
      </c>
      <c r="J86" s="14">
        <f>IF(E86="","",TRIM(IF(AND(E86&gt;=250,H86&lt;&gt;"Y"),"Receipt letter needed. ","")&amp;IF(AND(D86&lt;&gt;"Cash",E86&gt;5000),"Appraisal likely (&gt;$5,000 non-cash). ","")&amp;IF(AND(D86="Securities",G86="N"),"Short-term: limited to basis. ","")))</f>
        <v/>
      </c>
    </row>
    <row r="87">
      <c r="A87" s="10" t="n"/>
      <c r="B87" s="11" t="n"/>
      <c r="C87" s="11" t="n"/>
      <c r="D87" s="11" t="n"/>
      <c r="E87" s="12" t="n"/>
      <c r="F87" s="12" t="n"/>
      <c r="G87" s="11" t="n"/>
      <c r="H87" s="11" t="n"/>
      <c r="I87" s="13">
        <f>IF(OR(D87="",E87=""),"",IF(D87="Securities",IF(G87="N",MIN(E87,IF(F87="",E87,F87)),E87),E87))</f>
        <v/>
      </c>
      <c r="J87" s="14">
        <f>IF(E87="","",TRIM(IF(AND(E87&gt;=250,H87&lt;&gt;"Y"),"Receipt letter needed. ","")&amp;IF(AND(D87&lt;&gt;"Cash",E87&gt;5000),"Appraisal likely (&gt;$5,000 non-cash). ","")&amp;IF(AND(D87="Securities",G87="N"),"Short-term: limited to basis. ","")))</f>
        <v/>
      </c>
    </row>
    <row r="88">
      <c r="A88" s="10" t="n"/>
      <c r="B88" s="11" t="n"/>
      <c r="C88" s="11" t="n"/>
      <c r="D88" s="11" t="n"/>
      <c r="E88" s="12" t="n"/>
      <c r="F88" s="12" t="n"/>
      <c r="G88" s="11" t="n"/>
      <c r="H88" s="11" t="n"/>
      <c r="I88" s="13">
        <f>IF(OR(D88="",E88=""),"",IF(D88="Securities",IF(G88="N",MIN(E88,IF(F88="",E88,F88)),E88),E88))</f>
        <v/>
      </c>
      <c r="J88" s="14">
        <f>IF(E88="","",TRIM(IF(AND(E88&gt;=250,H88&lt;&gt;"Y"),"Receipt letter needed. ","")&amp;IF(AND(D88&lt;&gt;"Cash",E88&gt;5000),"Appraisal likely (&gt;$5,000 non-cash). ","")&amp;IF(AND(D88="Securities",G88="N"),"Short-term: limited to basis. ","")))</f>
        <v/>
      </c>
    </row>
    <row r="89">
      <c r="A89" s="10" t="n"/>
      <c r="B89" s="11" t="n"/>
      <c r="C89" s="11" t="n"/>
      <c r="D89" s="11" t="n"/>
      <c r="E89" s="12" t="n"/>
      <c r="F89" s="12" t="n"/>
      <c r="G89" s="11" t="n"/>
      <c r="H89" s="11" t="n"/>
      <c r="I89" s="13">
        <f>IF(OR(D89="",E89=""),"",IF(D89="Securities",IF(G89="N",MIN(E89,IF(F89="",E89,F89)),E89),E89))</f>
        <v/>
      </c>
      <c r="J89" s="14">
        <f>IF(E89="","",TRIM(IF(AND(E89&gt;=250,H89&lt;&gt;"Y"),"Receipt letter needed. ","")&amp;IF(AND(D89&lt;&gt;"Cash",E89&gt;5000),"Appraisal likely (&gt;$5,000 non-cash). ","")&amp;IF(AND(D89="Securities",G89="N"),"Short-term: limited to basis. ","")))</f>
        <v/>
      </c>
    </row>
    <row r="90">
      <c r="A90" s="10" t="n"/>
      <c r="B90" s="11" t="n"/>
      <c r="C90" s="11" t="n"/>
      <c r="D90" s="11" t="n"/>
      <c r="E90" s="12" t="n"/>
      <c r="F90" s="12" t="n"/>
      <c r="G90" s="11" t="n"/>
      <c r="H90" s="11" t="n"/>
      <c r="I90" s="13">
        <f>IF(OR(D90="",E90=""),"",IF(D90="Securities",IF(G90="N",MIN(E90,IF(F90="",E90,F90)),E90),E90))</f>
        <v/>
      </c>
      <c r="J90" s="14">
        <f>IF(E90="","",TRIM(IF(AND(E90&gt;=250,H90&lt;&gt;"Y"),"Receipt letter needed. ","")&amp;IF(AND(D90&lt;&gt;"Cash",E90&gt;5000),"Appraisal likely (&gt;$5,000 non-cash). ","")&amp;IF(AND(D90="Securities",G90="N"),"Short-term: limited to basis. ","")))</f>
        <v/>
      </c>
    </row>
    <row r="91">
      <c r="A91" s="10" t="n"/>
      <c r="B91" s="11" t="n"/>
      <c r="C91" s="11" t="n"/>
      <c r="D91" s="11" t="n"/>
      <c r="E91" s="12" t="n"/>
      <c r="F91" s="12" t="n"/>
      <c r="G91" s="11" t="n"/>
      <c r="H91" s="11" t="n"/>
      <c r="I91" s="13">
        <f>IF(OR(D91="",E91=""),"",IF(D91="Securities",IF(G91="N",MIN(E91,IF(F91="",E91,F91)),E91),E91))</f>
        <v/>
      </c>
      <c r="J91" s="14">
        <f>IF(E91="","",TRIM(IF(AND(E91&gt;=250,H91&lt;&gt;"Y"),"Receipt letter needed. ","")&amp;IF(AND(D91&lt;&gt;"Cash",E91&gt;5000),"Appraisal likely (&gt;$5,000 non-cash). ","")&amp;IF(AND(D91="Securities",G91="N"),"Short-term: limited to basis. ","")))</f>
        <v/>
      </c>
    </row>
    <row r="92">
      <c r="A92" s="10" t="n"/>
      <c r="B92" s="11" t="n"/>
      <c r="C92" s="11" t="n"/>
      <c r="D92" s="11" t="n"/>
      <c r="E92" s="12" t="n"/>
      <c r="F92" s="12" t="n"/>
      <c r="G92" s="11" t="n"/>
      <c r="H92" s="11" t="n"/>
      <c r="I92" s="13">
        <f>IF(OR(D92="",E92=""),"",IF(D92="Securities",IF(G92="N",MIN(E92,IF(F92="",E92,F92)),E92),E92))</f>
        <v/>
      </c>
      <c r="J92" s="14">
        <f>IF(E92="","",TRIM(IF(AND(E92&gt;=250,H92&lt;&gt;"Y"),"Receipt letter needed. ","")&amp;IF(AND(D92&lt;&gt;"Cash",E92&gt;5000),"Appraisal likely (&gt;$5,000 non-cash). ","")&amp;IF(AND(D92="Securities",G92="N"),"Short-term: limited to basis. ","")))</f>
        <v/>
      </c>
    </row>
    <row r="93">
      <c r="A93" s="10" t="n"/>
      <c r="B93" s="11" t="n"/>
      <c r="C93" s="11" t="n"/>
      <c r="D93" s="11" t="n"/>
      <c r="E93" s="12" t="n"/>
      <c r="F93" s="12" t="n"/>
      <c r="G93" s="11" t="n"/>
      <c r="H93" s="11" t="n"/>
      <c r="I93" s="13">
        <f>IF(OR(D93="",E93=""),"",IF(D93="Securities",IF(G93="N",MIN(E93,IF(F93="",E93,F93)),E93),E93))</f>
        <v/>
      </c>
      <c r="J93" s="14">
        <f>IF(E93="","",TRIM(IF(AND(E93&gt;=250,H93&lt;&gt;"Y"),"Receipt letter needed. ","")&amp;IF(AND(D93&lt;&gt;"Cash",E93&gt;5000),"Appraisal likely (&gt;$5,000 non-cash). ","")&amp;IF(AND(D93="Securities",G93="N"),"Short-term: limited to basis. ","")))</f>
        <v/>
      </c>
    </row>
    <row r="94">
      <c r="A94" s="10" t="n"/>
      <c r="B94" s="11" t="n"/>
      <c r="C94" s="11" t="n"/>
      <c r="D94" s="11" t="n"/>
      <c r="E94" s="12" t="n"/>
      <c r="F94" s="12" t="n"/>
      <c r="G94" s="11" t="n"/>
      <c r="H94" s="11" t="n"/>
      <c r="I94" s="13">
        <f>IF(OR(D94="",E94=""),"",IF(D94="Securities",IF(G94="N",MIN(E94,IF(F94="",E94,F94)),E94),E94))</f>
        <v/>
      </c>
      <c r="J94" s="14">
        <f>IF(E94="","",TRIM(IF(AND(E94&gt;=250,H94&lt;&gt;"Y"),"Receipt letter needed. ","")&amp;IF(AND(D94&lt;&gt;"Cash",E94&gt;5000),"Appraisal likely (&gt;$5,000 non-cash). ","")&amp;IF(AND(D94="Securities",G94="N"),"Short-term: limited to basis. ","")))</f>
        <v/>
      </c>
    </row>
    <row r="95">
      <c r="A95" s="10" t="n"/>
      <c r="B95" s="11" t="n"/>
      <c r="C95" s="11" t="n"/>
      <c r="D95" s="11" t="n"/>
      <c r="E95" s="12" t="n"/>
      <c r="F95" s="12" t="n"/>
      <c r="G95" s="11" t="n"/>
      <c r="H95" s="11" t="n"/>
      <c r="I95" s="13">
        <f>IF(OR(D95="",E95=""),"",IF(D95="Securities",IF(G95="N",MIN(E95,IF(F95="",E95,F95)),E95),E95))</f>
        <v/>
      </c>
      <c r="J95" s="14">
        <f>IF(E95="","",TRIM(IF(AND(E95&gt;=250,H95&lt;&gt;"Y"),"Receipt letter needed. ","")&amp;IF(AND(D95&lt;&gt;"Cash",E95&gt;5000),"Appraisal likely (&gt;$5,000 non-cash). ","")&amp;IF(AND(D95="Securities",G95="N"),"Short-term: limited to basis. ","")))</f>
        <v/>
      </c>
    </row>
    <row r="96">
      <c r="A96" s="10" t="n"/>
      <c r="B96" s="11" t="n"/>
      <c r="C96" s="11" t="n"/>
      <c r="D96" s="11" t="n"/>
      <c r="E96" s="12" t="n"/>
      <c r="F96" s="12" t="n"/>
      <c r="G96" s="11" t="n"/>
      <c r="H96" s="11" t="n"/>
      <c r="I96" s="13">
        <f>IF(OR(D96="",E96=""),"",IF(D96="Securities",IF(G96="N",MIN(E96,IF(F96="",E96,F96)),E96),E96))</f>
        <v/>
      </c>
      <c r="J96" s="14">
        <f>IF(E96="","",TRIM(IF(AND(E96&gt;=250,H96&lt;&gt;"Y"),"Receipt letter needed. ","")&amp;IF(AND(D96&lt;&gt;"Cash",E96&gt;5000),"Appraisal likely (&gt;$5,000 non-cash). ","")&amp;IF(AND(D96="Securities",G96="N"),"Short-term: limited to basis. ","")))</f>
        <v/>
      </c>
    </row>
    <row r="97">
      <c r="A97" s="10" t="n"/>
      <c r="B97" s="11" t="n"/>
      <c r="C97" s="11" t="n"/>
      <c r="D97" s="11" t="n"/>
      <c r="E97" s="12" t="n"/>
      <c r="F97" s="12" t="n"/>
      <c r="G97" s="11" t="n"/>
      <c r="H97" s="11" t="n"/>
      <c r="I97" s="13">
        <f>IF(OR(D97="",E97=""),"",IF(D97="Securities",IF(G97="N",MIN(E97,IF(F97="",E97,F97)),E97),E97))</f>
        <v/>
      </c>
      <c r="J97" s="14">
        <f>IF(E97="","",TRIM(IF(AND(E97&gt;=250,H97&lt;&gt;"Y"),"Receipt letter needed. ","")&amp;IF(AND(D97&lt;&gt;"Cash",E97&gt;5000),"Appraisal likely (&gt;$5,000 non-cash). ","")&amp;IF(AND(D97="Securities",G97="N"),"Short-term: limited to basis. ","")))</f>
        <v/>
      </c>
    </row>
    <row r="98">
      <c r="A98" s="10" t="n"/>
      <c r="B98" s="11" t="n"/>
      <c r="C98" s="11" t="n"/>
      <c r="D98" s="11" t="n"/>
      <c r="E98" s="12" t="n"/>
      <c r="F98" s="12" t="n"/>
      <c r="G98" s="11" t="n"/>
      <c r="H98" s="11" t="n"/>
      <c r="I98" s="13">
        <f>IF(OR(D98="",E98=""),"",IF(D98="Securities",IF(G98="N",MIN(E98,IF(F98="",E98,F98)),E98),E98))</f>
        <v/>
      </c>
      <c r="J98" s="14">
        <f>IF(E98="","",TRIM(IF(AND(E98&gt;=250,H98&lt;&gt;"Y"),"Receipt letter needed. ","")&amp;IF(AND(D98&lt;&gt;"Cash",E98&gt;5000),"Appraisal likely (&gt;$5,000 non-cash). ","")&amp;IF(AND(D98="Securities",G98="N"),"Short-term: limited to basis. ","")))</f>
        <v/>
      </c>
    </row>
    <row r="99">
      <c r="A99" s="10" t="n"/>
      <c r="B99" s="11" t="n"/>
      <c r="C99" s="11" t="n"/>
      <c r="D99" s="11" t="n"/>
      <c r="E99" s="12" t="n"/>
      <c r="F99" s="12" t="n"/>
      <c r="G99" s="11" t="n"/>
      <c r="H99" s="11" t="n"/>
      <c r="I99" s="13">
        <f>IF(OR(D99="",E99=""),"",IF(D99="Securities",IF(G99="N",MIN(E99,IF(F99="",E99,F99)),E99),E99))</f>
        <v/>
      </c>
      <c r="J99" s="14">
        <f>IF(E99="","",TRIM(IF(AND(E99&gt;=250,H99&lt;&gt;"Y"),"Receipt letter needed. ","")&amp;IF(AND(D99&lt;&gt;"Cash",E99&gt;5000),"Appraisal likely (&gt;$5,000 non-cash). ","")&amp;IF(AND(D99="Securities",G99="N"),"Short-term: limited to basis. ","")))</f>
        <v/>
      </c>
    </row>
    <row r="100">
      <c r="A100" s="10" t="n"/>
      <c r="B100" s="11" t="n"/>
      <c r="C100" s="11" t="n"/>
      <c r="D100" s="11" t="n"/>
      <c r="E100" s="12" t="n"/>
      <c r="F100" s="12" t="n"/>
      <c r="G100" s="11" t="n"/>
      <c r="H100" s="11" t="n"/>
      <c r="I100" s="13">
        <f>IF(OR(D100="",E100=""),"",IF(D100="Securities",IF(G100="N",MIN(E100,IF(F100="",E100,F100)),E100),E100))</f>
        <v/>
      </c>
      <c r="J100" s="14">
        <f>IF(E100="","",TRIM(IF(AND(E100&gt;=250,H100&lt;&gt;"Y"),"Receipt letter needed. ","")&amp;IF(AND(D100&lt;&gt;"Cash",E100&gt;5000),"Appraisal likely (&gt;$5,000 non-cash). ","")&amp;IF(AND(D100="Securities",G100="N"),"Short-term: limited to basis. ","")))</f>
        <v/>
      </c>
    </row>
    <row r="101">
      <c r="A101" s="10" t="n"/>
      <c r="B101" s="11" t="n"/>
      <c r="C101" s="11" t="n"/>
      <c r="D101" s="11" t="n"/>
      <c r="E101" s="12" t="n"/>
      <c r="F101" s="12" t="n"/>
      <c r="G101" s="11" t="n"/>
      <c r="H101" s="11" t="n"/>
      <c r="I101" s="13">
        <f>IF(OR(D101="",E101=""),"",IF(D101="Securities",IF(G101="N",MIN(E101,IF(F101="",E101,F101)),E101),E101))</f>
        <v/>
      </c>
      <c r="J101" s="14">
        <f>IF(E101="","",TRIM(IF(AND(E101&gt;=250,H101&lt;&gt;"Y"),"Receipt letter needed. ","")&amp;IF(AND(D101&lt;&gt;"Cash",E101&gt;5000),"Appraisal likely (&gt;$5,000 non-cash). ","")&amp;IF(AND(D101="Securities",G101="N"),"Short-term: limited to basis. ","")))</f>
        <v/>
      </c>
    </row>
    <row r="102">
      <c r="A102" s="10" t="n"/>
      <c r="B102" s="11" t="n"/>
      <c r="C102" s="11" t="n"/>
      <c r="D102" s="11" t="n"/>
      <c r="E102" s="12" t="n"/>
      <c r="F102" s="12" t="n"/>
      <c r="G102" s="11" t="n"/>
      <c r="H102" s="11" t="n"/>
      <c r="I102" s="13">
        <f>IF(OR(D102="",E102=""),"",IF(D102="Securities",IF(G102="N",MIN(E102,IF(F102="",E102,F102)),E102),E102))</f>
        <v/>
      </c>
      <c r="J102" s="14">
        <f>IF(E102="","",TRIM(IF(AND(E102&gt;=250,H102&lt;&gt;"Y"),"Receipt letter needed. ","")&amp;IF(AND(D102&lt;&gt;"Cash",E102&gt;5000),"Appraisal likely (&gt;$5,000 non-cash). ","")&amp;IF(AND(D102="Securities",G102="N"),"Short-term: limited to basis. ","")))</f>
        <v/>
      </c>
    </row>
    <row r="103">
      <c r="A103" s="10" t="n"/>
      <c r="B103" s="11" t="n"/>
      <c r="C103" s="11" t="n"/>
      <c r="D103" s="11" t="n"/>
      <c r="E103" s="12" t="n"/>
      <c r="F103" s="12" t="n"/>
      <c r="G103" s="11" t="n"/>
      <c r="H103" s="11" t="n"/>
      <c r="I103" s="13">
        <f>IF(OR(D103="",E103=""),"",IF(D103="Securities",IF(G103="N",MIN(E103,IF(F103="",E103,F103)),E103),E103))</f>
        <v/>
      </c>
      <c r="J103" s="14">
        <f>IF(E103="","",TRIM(IF(AND(E103&gt;=250,H103&lt;&gt;"Y"),"Receipt letter needed. ","")&amp;IF(AND(D103&lt;&gt;"Cash",E103&gt;5000),"Appraisal likely (&gt;$5,000 non-cash). ","")&amp;IF(AND(D103="Securities",G103="N"),"Short-term: limited to basis. ","")))</f>
        <v/>
      </c>
    </row>
    <row r="104">
      <c r="A104" s="10" t="n"/>
      <c r="B104" s="11" t="n"/>
      <c r="C104" s="11" t="n"/>
      <c r="D104" s="11" t="n"/>
      <c r="E104" s="12" t="n"/>
      <c r="F104" s="12" t="n"/>
      <c r="G104" s="11" t="n"/>
      <c r="H104" s="11" t="n"/>
      <c r="I104" s="13">
        <f>IF(OR(D104="",E104=""),"",IF(D104="Securities",IF(G104="N",MIN(E104,IF(F104="",E104,F104)),E104),E104))</f>
        <v/>
      </c>
      <c r="J104" s="14">
        <f>IF(E104="","",TRIM(IF(AND(E104&gt;=250,H104&lt;&gt;"Y"),"Receipt letter needed. ","")&amp;IF(AND(D104&lt;&gt;"Cash",E104&gt;5000),"Appraisal likely (&gt;$5,000 non-cash). ","")&amp;IF(AND(D104="Securities",G104="N"),"Short-term: limited to basis. ","")))</f>
        <v/>
      </c>
    </row>
    <row r="105">
      <c r="A105" s="10" t="n"/>
      <c r="B105" s="11" t="n"/>
      <c r="C105" s="11" t="n"/>
      <c r="D105" s="11" t="n"/>
      <c r="E105" s="12" t="n"/>
      <c r="F105" s="12" t="n"/>
      <c r="G105" s="11" t="n"/>
      <c r="H105" s="11" t="n"/>
      <c r="I105" s="13">
        <f>IF(OR(D105="",E105=""),"",IF(D105="Securities",IF(G105="N",MIN(E105,IF(F105="",E105,F105)),E105),E105))</f>
        <v/>
      </c>
      <c r="J105" s="14">
        <f>IF(E105="","",TRIM(IF(AND(E105&gt;=250,H105&lt;&gt;"Y"),"Receipt letter needed. ","")&amp;IF(AND(D105&lt;&gt;"Cash",E105&gt;5000),"Appraisal likely (&gt;$5,000 non-cash). ","")&amp;IF(AND(D105="Securities",G105="N"),"Short-term: limited to basis. ","")))</f>
        <v/>
      </c>
    </row>
    <row r="106">
      <c r="A106" s="10" t="n"/>
      <c r="B106" s="11" t="n"/>
      <c r="C106" s="11" t="n"/>
      <c r="D106" s="11" t="n"/>
      <c r="E106" s="12" t="n"/>
      <c r="F106" s="12" t="n"/>
      <c r="G106" s="11" t="n"/>
      <c r="H106" s="11" t="n"/>
      <c r="I106" s="13">
        <f>IF(OR(D106="",E106=""),"",IF(D106="Securities",IF(G106="N",MIN(E106,IF(F106="",E106,F106)),E106),E106))</f>
        <v/>
      </c>
      <c r="J106" s="14">
        <f>IF(E106="","",TRIM(IF(AND(E106&gt;=250,H106&lt;&gt;"Y"),"Receipt letter needed. ","")&amp;IF(AND(D106&lt;&gt;"Cash",E106&gt;5000),"Appraisal likely (&gt;$5,000 non-cash). ","")&amp;IF(AND(D106="Securities",G106="N"),"Short-term: limited to basis. ","")))</f>
        <v/>
      </c>
    </row>
    <row r="107">
      <c r="A107" s="10" t="n"/>
      <c r="B107" s="11" t="n"/>
      <c r="C107" s="11" t="n"/>
      <c r="D107" s="11" t="n"/>
      <c r="E107" s="12" t="n"/>
      <c r="F107" s="12" t="n"/>
      <c r="G107" s="11" t="n"/>
      <c r="H107" s="11" t="n"/>
      <c r="I107" s="13">
        <f>IF(OR(D107="",E107=""),"",IF(D107="Securities",IF(G107="N",MIN(E107,IF(F107="",E107,F107)),E107),E107))</f>
        <v/>
      </c>
      <c r="J107" s="14">
        <f>IF(E107="","",TRIM(IF(AND(E107&gt;=250,H107&lt;&gt;"Y"),"Receipt letter needed. ","")&amp;IF(AND(D107&lt;&gt;"Cash",E107&gt;5000),"Appraisal likely (&gt;$5,000 non-cash). ","")&amp;IF(AND(D107="Securities",G107="N"),"Short-term: limited to basis. ","")))</f>
        <v/>
      </c>
    </row>
    <row r="108">
      <c r="A108" s="10" t="n"/>
      <c r="B108" s="11" t="n"/>
      <c r="C108" s="11" t="n"/>
      <c r="D108" s="11" t="n"/>
      <c r="E108" s="12" t="n"/>
      <c r="F108" s="12" t="n"/>
      <c r="G108" s="11" t="n"/>
      <c r="H108" s="11" t="n"/>
      <c r="I108" s="13">
        <f>IF(OR(D108="",E108=""),"",IF(D108="Securities",IF(G108="N",MIN(E108,IF(F108="",E108,F108)),E108),E108))</f>
        <v/>
      </c>
      <c r="J108" s="14">
        <f>IF(E108="","",TRIM(IF(AND(E108&gt;=250,H108&lt;&gt;"Y"),"Receipt letter needed. ","")&amp;IF(AND(D108&lt;&gt;"Cash",E108&gt;5000),"Appraisal likely (&gt;$5,000 non-cash). ","")&amp;IF(AND(D108="Securities",G108="N"),"Short-term: limited to basis. ","")))</f>
        <v/>
      </c>
    </row>
    <row r="109">
      <c r="A109" s="10" t="n"/>
      <c r="B109" s="11" t="n"/>
      <c r="C109" s="11" t="n"/>
      <c r="D109" s="11" t="n"/>
      <c r="E109" s="12" t="n"/>
      <c r="F109" s="12" t="n"/>
      <c r="G109" s="11" t="n"/>
      <c r="H109" s="11" t="n"/>
      <c r="I109" s="13">
        <f>IF(OR(D109="",E109=""),"",IF(D109="Securities",IF(G109="N",MIN(E109,IF(F109="",E109,F109)),E109),E109))</f>
        <v/>
      </c>
      <c r="J109" s="14">
        <f>IF(E109="","",TRIM(IF(AND(E109&gt;=250,H109&lt;&gt;"Y"),"Receipt letter needed. ","")&amp;IF(AND(D109&lt;&gt;"Cash",E109&gt;5000),"Appraisal likely (&gt;$5,000 non-cash). ","")&amp;IF(AND(D109="Securities",G109="N"),"Short-term: limited to basis. ","")))</f>
        <v/>
      </c>
    </row>
    <row r="110">
      <c r="A110" s="10" t="n"/>
      <c r="B110" s="11" t="n"/>
      <c r="C110" s="11" t="n"/>
      <c r="D110" s="11" t="n"/>
      <c r="E110" s="12" t="n"/>
      <c r="F110" s="12" t="n"/>
      <c r="G110" s="11" t="n"/>
      <c r="H110" s="11" t="n"/>
      <c r="I110" s="13">
        <f>IF(OR(D110="",E110=""),"",IF(D110="Securities",IF(G110="N",MIN(E110,IF(F110="",E110,F110)),E110),E110))</f>
        <v/>
      </c>
      <c r="J110" s="14">
        <f>IF(E110="","",TRIM(IF(AND(E110&gt;=250,H110&lt;&gt;"Y"),"Receipt letter needed. ","")&amp;IF(AND(D110&lt;&gt;"Cash",E110&gt;5000),"Appraisal likely (&gt;$5,000 non-cash). ","")&amp;IF(AND(D110="Securities",G110="N"),"Short-term: limited to basis. ","")))</f>
        <v/>
      </c>
    </row>
    <row r="111">
      <c r="A111" s="10" t="n"/>
      <c r="B111" s="11" t="n"/>
      <c r="C111" s="11" t="n"/>
      <c r="D111" s="11" t="n"/>
      <c r="E111" s="12" t="n"/>
      <c r="F111" s="12" t="n"/>
      <c r="G111" s="11" t="n"/>
      <c r="H111" s="11" t="n"/>
      <c r="I111" s="13">
        <f>IF(OR(D111="",E111=""),"",IF(D111="Securities",IF(G111="N",MIN(E111,IF(F111="",E111,F111)),E111),E111))</f>
        <v/>
      </c>
      <c r="J111" s="14">
        <f>IF(E111="","",TRIM(IF(AND(E111&gt;=250,H111&lt;&gt;"Y"),"Receipt letter needed. ","")&amp;IF(AND(D111&lt;&gt;"Cash",E111&gt;5000),"Appraisal likely (&gt;$5,000 non-cash). ","")&amp;IF(AND(D111="Securities",G111="N"),"Short-term: limited to basis. ","")))</f>
        <v/>
      </c>
    </row>
    <row r="112">
      <c r="A112" s="10" t="n"/>
      <c r="B112" s="11" t="n"/>
      <c r="C112" s="11" t="n"/>
      <c r="D112" s="11" t="n"/>
      <c r="E112" s="12" t="n"/>
      <c r="F112" s="12" t="n"/>
      <c r="G112" s="11" t="n"/>
      <c r="H112" s="11" t="n"/>
      <c r="I112" s="13">
        <f>IF(OR(D112="",E112=""),"",IF(D112="Securities",IF(G112="N",MIN(E112,IF(F112="",E112,F112)),E112),E112))</f>
        <v/>
      </c>
      <c r="J112" s="14">
        <f>IF(E112="","",TRIM(IF(AND(E112&gt;=250,H112&lt;&gt;"Y"),"Receipt letter needed. ","")&amp;IF(AND(D112&lt;&gt;"Cash",E112&gt;5000),"Appraisal likely (&gt;$5,000 non-cash). ","")&amp;IF(AND(D112="Securities",G112="N"),"Short-term: limited to basis. ","")))</f>
        <v/>
      </c>
    </row>
    <row r="113">
      <c r="A113" s="10" t="n"/>
      <c r="B113" s="11" t="n"/>
      <c r="C113" s="11" t="n"/>
      <c r="D113" s="11" t="n"/>
      <c r="E113" s="12" t="n"/>
      <c r="F113" s="12" t="n"/>
      <c r="G113" s="11" t="n"/>
      <c r="H113" s="11" t="n"/>
      <c r="I113" s="13">
        <f>IF(OR(D113="",E113=""),"",IF(D113="Securities",IF(G113="N",MIN(E113,IF(F113="",E113,F113)),E113),E113))</f>
        <v/>
      </c>
      <c r="J113" s="14">
        <f>IF(E113="","",TRIM(IF(AND(E113&gt;=250,H113&lt;&gt;"Y"),"Receipt letter needed. ","")&amp;IF(AND(D113&lt;&gt;"Cash",E113&gt;5000),"Appraisal likely (&gt;$5,000 non-cash). ","")&amp;IF(AND(D113="Securities",G113="N"),"Short-term: limited to basis. ","")))</f>
        <v/>
      </c>
    </row>
    <row r="114">
      <c r="A114" s="10" t="n"/>
      <c r="B114" s="11" t="n"/>
      <c r="C114" s="11" t="n"/>
      <c r="D114" s="11" t="n"/>
      <c r="E114" s="12" t="n"/>
      <c r="F114" s="12" t="n"/>
      <c r="G114" s="11" t="n"/>
      <c r="H114" s="11" t="n"/>
      <c r="I114" s="13">
        <f>IF(OR(D114="",E114=""),"",IF(D114="Securities",IF(G114="N",MIN(E114,IF(F114="",E114,F114)),E114),E114))</f>
        <v/>
      </c>
      <c r="J114" s="14">
        <f>IF(E114="","",TRIM(IF(AND(E114&gt;=250,H114&lt;&gt;"Y"),"Receipt letter needed. ","")&amp;IF(AND(D114&lt;&gt;"Cash",E114&gt;5000),"Appraisal likely (&gt;$5,000 non-cash). ","")&amp;IF(AND(D114="Securities",G114="N"),"Short-term: limited to basis. ","")))</f>
        <v/>
      </c>
    </row>
    <row r="115">
      <c r="A115" s="10" t="n"/>
      <c r="B115" s="11" t="n"/>
      <c r="C115" s="11" t="n"/>
      <c r="D115" s="11" t="n"/>
      <c r="E115" s="12" t="n"/>
      <c r="F115" s="12" t="n"/>
      <c r="G115" s="11" t="n"/>
      <c r="H115" s="11" t="n"/>
      <c r="I115" s="13">
        <f>IF(OR(D115="",E115=""),"",IF(D115="Securities",IF(G115="N",MIN(E115,IF(F115="",E115,F115)),E115),E115))</f>
        <v/>
      </c>
      <c r="J115" s="14">
        <f>IF(E115="","",TRIM(IF(AND(E115&gt;=250,H115&lt;&gt;"Y"),"Receipt letter needed. ","")&amp;IF(AND(D115&lt;&gt;"Cash",E115&gt;5000),"Appraisal likely (&gt;$5,000 non-cash). ","")&amp;IF(AND(D115="Securities",G115="N"),"Short-term: limited to basis. ","")))</f>
        <v/>
      </c>
    </row>
    <row r="116">
      <c r="A116" s="10" t="n"/>
      <c r="B116" s="11" t="n"/>
      <c r="C116" s="11" t="n"/>
      <c r="D116" s="11" t="n"/>
      <c r="E116" s="12" t="n"/>
      <c r="F116" s="12" t="n"/>
      <c r="G116" s="11" t="n"/>
      <c r="H116" s="11" t="n"/>
      <c r="I116" s="13">
        <f>IF(OR(D116="",E116=""),"",IF(D116="Securities",IF(G116="N",MIN(E116,IF(F116="",E116,F116)),E116),E116))</f>
        <v/>
      </c>
      <c r="J116" s="14">
        <f>IF(E116="","",TRIM(IF(AND(E116&gt;=250,H116&lt;&gt;"Y"),"Receipt letter needed. ","")&amp;IF(AND(D116&lt;&gt;"Cash",E116&gt;5000),"Appraisal likely (&gt;$5,000 non-cash). ","")&amp;IF(AND(D116="Securities",G116="N"),"Short-term: limited to basis. ","")))</f>
        <v/>
      </c>
    </row>
    <row r="117">
      <c r="A117" s="10" t="n"/>
      <c r="B117" s="11" t="n"/>
      <c r="C117" s="11" t="n"/>
      <c r="D117" s="11" t="n"/>
      <c r="E117" s="12" t="n"/>
      <c r="F117" s="12" t="n"/>
      <c r="G117" s="11" t="n"/>
      <c r="H117" s="11" t="n"/>
      <c r="I117" s="13">
        <f>IF(OR(D117="",E117=""),"",IF(D117="Securities",IF(G117="N",MIN(E117,IF(F117="",E117,F117)),E117),E117))</f>
        <v/>
      </c>
      <c r="J117" s="14">
        <f>IF(E117="","",TRIM(IF(AND(E117&gt;=250,H117&lt;&gt;"Y"),"Receipt letter needed. ","")&amp;IF(AND(D117&lt;&gt;"Cash",E117&gt;5000),"Appraisal likely (&gt;$5,000 non-cash). ","")&amp;IF(AND(D117="Securities",G117="N"),"Short-term: limited to basis. ","")))</f>
        <v/>
      </c>
    </row>
    <row r="118">
      <c r="A118" s="10" t="n"/>
      <c r="B118" s="11" t="n"/>
      <c r="C118" s="11" t="n"/>
      <c r="D118" s="11" t="n"/>
      <c r="E118" s="12" t="n"/>
      <c r="F118" s="12" t="n"/>
      <c r="G118" s="11" t="n"/>
      <c r="H118" s="11" t="n"/>
      <c r="I118" s="13">
        <f>IF(OR(D118="",E118=""),"",IF(D118="Securities",IF(G118="N",MIN(E118,IF(F118="",E118,F118)),E118),E118))</f>
        <v/>
      </c>
      <c r="J118" s="14">
        <f>IF(E118="","",TRIM(IF(AND(E118&gt;=250,H118&lt;&gt;"Y"),"Receipt letter needed. ","")&amp;IF(AND(D118&lt;&gt;"Cash",E118&gt;5000),"Appraisal likely (&gt;$5,000 non-cash). ","")&amp;IF(AND(D118="Securities",G118="N"),"Short-term: limited to basis. ","")))</f>
        <v/>
      </c>
    </row>
    <row r="119">
      <c r="A119" s="10" t="n"/>
      <c r="B119" s="11" t="n"/>
      <c r="C119" s="11" t="n"/>
      <c r="D119" s="11" t="n"/>
      <c r="E119" s="12" t="n"/>
      <c r="F119" s="12" t="n"/>
      <c r="G119" s="11" t="n"/>
      <c r="H119" s="11" t="n"/>
      <c r="I119" s="13">
        <f>IF(OR(D119="",E119=""),"",IF(D119="Securities",IF(G119="N",MIN(E119,IF(F119="",E119,F119)),E119),E119))</f>
        <v/>
      </c>
      <c r="J119" s="14">
        <f>IF(E119="","",TRIM(IF(AND(E119&gt;=250,H119&lt;&gt;"Y"),"Receipt letter needed. ","")&amp;IF(AND(D119&lt;&gt;"Cash",E119&gt;5000),"Appraisal likely (&gt;$5,000 non-cash). ","")&amp;IF(AND(D119="Securities",G119="N"),"Short-term: limited to basis. ","")))</f>
        <v/>
      </c>
    </row>
    <row r="120">
      <c r="A120" s="10" t="n"/>
      <c r="B120" s="11" t="n"/>
      <c r="C120" s="11" t="n"/>
      <c r="D120" s="11" t="n"/>
      <c r="E120" s="12" t="n"/>
      <c r="F120" s="12" t="n"/>
      <c r="G120" s="11" t="n"/>
      <c r="H120" s="11" t="n"/>
      <c r="I120" s="13">
        <f>IF(OR(D120="",E120=""),"",IF(D120="Securities",IF(G120="N",MIN(E120,IF(F120="",E120,F120)),E120),E120))</f>
        <v/>
      </c>
      <c r="J120" s="14">
        <f>IF(E120="","",TRIM(IF(AND(E120&gt;=250,H120&lt;&gt;"Y"),"Receipt letter needed. ","")&amp;IF(AND(D120&lt;&gt;"Cash",E120&gt;5000),"Appraisal likely (&gt;$5,000 non-cash). ","")&amp;IF(AND(D120="Securities",G120="N"),"Short-term: limited to basis. ","")))</f>
        <v/>
      </c>
    </row>
    <row r="121">
      <c r="A121" s="10" t="n"/>
      <c r="B121" s="11" t="n"/>
      <c r="C121" s="11" t="n"/>
      <c r="D121" s="11" t="n"/>
      <c r="E121" s="12" t="n"/>
      <c r="F121" s="12" t="n"/>
      <c r="G121" s="11" t="n"/>
      <c r="H121" s="11" t="n"/>
      <c r="I121" s="13">
        <f>IF(OR(D121="",E121=""),"",IF(D121="Securities",IF(G121="N",MIN(E121,IF(F121="",E121,F121)),E121),E121))</f>
        <v/>
      </c>
      <c r="J121" s="14">
        <f>IF(E121="","",TRIM(IF(AND(E121&gt;=250,H121&lt;&gt;"Y"),"Receipt letter needed. ","")&amp;IF(AND(D121&lt;&gt;"Cash",E121&gt;5000),"Appraisal likely (&gt;$5,000 non-cash). ","")&amp;IF(AND(D121="Securities",G121="N"),"Short-term: limited to basis. ","")))</f>
        <v/>
      </c>
    </row>
    <row r="122">
      <c r="A122" s="10" t="n"/>
      <c r="B122" s="11" t="n"/>
      <c r="C122" s="11" t="n"/>
      <c r="D122" s="11" t="n"/>
      <c r="E122" s="12" t="n"/>
      <c r="F122" s="12" t="n"/>
      <c r="G122" s="11" t="n"/>
      <c r="H122" s="11" t="n"/>
      <c r="I122" s="13">
        <f>IF(OR(D122="",E122=""),"",IF(D122="Securities",IF(G122="N",MIN(E122,IF(F122="",E122,F122)),E122),E122))</f>
        <v/>
      </c>
      <c r="J122" s="14">
        <f>IF(E122="","",TRIM(IF(AND(E122&gt;=250,H122&lt;&gt;"Y"),"Receipt letter needed. ","")&amp;IF(AND(D122&lt;&gt;"Cash",E122&gt;5000),"Appraisal likely (&gt;$5,000 non-cash). ","")&amp;IF(AND(D122="Securities",G122="N"),"Short-term: limited to basis. ","")))</f>
        <v/>
      </c>
    </row>
    <row r="123">
      <c r="A123" s="10" t="n"/>
      <c r="B123" s="11" t="n"/>
      <c r="C123" s="11" t="n"/>
      <c r="D123" s="11" t="n"/>
      <c r="E123" s="12" t="n"/>
      <c r="F123" s="12" t="n"/>
      <c r="G123" s="11" t="n"/>
      <c r="H123" s="11" t="n"/>
      <c r="I123" s="13">
        <f>IF(OR(D123="",E123=""),"",IF(D123="Securities",IF(G123="N",MIN(E123,IF(F123="",E123,F123)),E123),E123))</f>
        <v/>
      </c>
      <c r="J123" s="14">
        <f>IF(E123="","",TRIM(IF(AND(E123&gt;=250,H123&lt;&gt;"Y"),"Receipt letter needed. ","")&amp;IF(AND(D123&lt;&gt;"Cash",E123&gt;5000),"Appraisal likely (&gt;$5,000 non-cash). ","")&amp;IF(AND(D123="Securities",G123="N"),"Short-term: limited to basis. ","")))</f>
        <v/>
      </c>
    </row>
    <row r="124">
      <c r="A124" s="10" t="n"/>
      <c r="B124" s="11" t="n"/>
      <c r="C124" s="11" t="n"/>
      <c r="D124" s="11" t="n"/>
      <c r="E124" s="12" t="n"/>
      <c r="F124" s="12" t="n"/>
      <c r="G124" s="11" t="n"/>
      <c r="H124" s="11" t="n"/>
      <c r="I124" s="13">
        <f>IF(OR(D124="",E124=""),"",IF(D124="Securities",IF(G124="N",MIN(E124,IF(F124="",E124,F124)),E124),E124))</f>
        <v/>
      </c>
      <c r="J124" s="14">
        <f>IF(E124="","",TRIM(IF(AND(E124&gt;=250,H124&lt;&gt;"Y"),"Receipt letter needed. ","")&amp;IF(AND(D124&lt;&gt;"Cash",E124&gt;5000),"Appraisal likely (&gt;$5,000 non-cash). ","")&amp;IF(AND(D124="Securities",G124="N"),"Short-term: limited to basis. ","")))</f>
        <v/>
      </c>
    </row>
    <row r="125">
      <c r="A125" s="10" t="n"/>
      <c r="B125" s="11" t="n"/>
      <c r="C125" s="11" t="n"/>
      <c r="D125" s="11" t="n"/>
      <c r="E125" s="12" t="n"/>
      <c r="F125" s="12" t="n"/>
      <c r="G125" s="11" t="n"/>
      <c r="H125" s="11" t="n"/>
      <c r="I125" s="13">
        <f>IF(OR(D125="",E125=""),"",IF(D125="Securities",IF(G125="N",MIN(E125,IF(F125="",E125,F125)),E125),E125))</f>
        <v/>
      </c>
      <c r="J125" s="14">
        <f>IF(E125="","",TRIM(IF(AND(E125&gt;=250,H125&lt;&gt;"Y"),"Receipt letter needed. ","")&amp;IF(AND(D125&lt;&gt;"Cash",E125&gt;5000),"Appraisal likely (&gt;$5,000 non-cash). ","")&amp;IF(AND(D125="Securities",G125="N"),"Short-term: limited to basis. ","")))</f>
        <v/>
      </c>
    </row>
    <row r="126">
      <c r="A126" s="10" t="n"/>
      <c r="B126" s="11" t="n"/>
      <c r="C126" s="11" t="n"/>
      <c r="D126" s="11" t="n"/>
      <c r="E126" s="12" t="n"/>
      <c r="F126" s="12" t="n"/>
      <c r="G126" s="11" t="n"/>
      <c r="H126" s="11" t="n"/>
      <c r="I126" s="13">
        <f>IF(OR(D126="",E126=""),"",IF(D126="Securities",IF(G126="N",MIN(E126,IF(F126="",E126,F126)),E126),E126))</f>
        <v/>
      </c>
      <c r="J126" s="14">
        <f>IF(E126="","",TRIM(IF(AND(E126&gt;=250,H126&lt;&gt;"Y"),"Receipt letter needed. ","")&amp;IF(AND(D126&lt;&gt;"Cash",E126&gt;5000),"Appraisal likely (&gt;$5,000 non-cash). ","")&amp;IF(AND(D126="Securities",G126="N"),"Short-term: limited to basis. ","")))</f>
        <v/>
      </c>
    </row>
    <row r="127">
      <c r="A127" s="10" t="n"/>
      <c r="B127" s="11" t="n"/>
      <c r="C127" s="11" t="n"/>
      <c r="D127" s="11" t="n"/>
      <c r="E127" s="12" t="n"/>
      <c r="F127" s="12" t="n"/>
      <c r="G127" s="11" t="n"/>
      <c r="H127" s="11" t="n"/>
      <c r="I127" s="13">
        <f>IF(OR(D127="",E127=""),"",IF(D127="Securities",IF(G127="N",MIN(E127,IF(F127="",E127,F127)),E127),E127))</f>
        <v/>
      </c>
      <c r="J127" s="14">
        <f>IF(E127="","",TRIM(IF(AND(E127&gt;=250,H127&lt;&gt;"Y"),"Receipt letter needed. ","")&amp;IF(AND(D127&lt;&gt;"Cash",E127&gt;5000),"Appraisal likely (&gt;$5,000 non-cash). ","")&amp;IF(AND(D127="Securities",G127="N"),"Short-term: limited to basis. ","")))</f>
        <v/>
      </c>
    </row>
    <row r="128">
      <c r="A128" s="10" t="n"/>
      <c r="B128" s="11" t="n"/>
      <c r="C128" s="11" t="n"/>
      <c r="D128" s="11" t="n"/>
      <c r="E128" s="12" t="n"/>
      <c r="F128" s="12" t="n"/>
      <c r="G128" s="11" t="n"/>
      <c r="H128" s="11" t="n"/>
      <c r="I128" s="13">
        <f>IF(OR(D128="",E128=""),"",IF(D128="Securities",IF(G128="N",MIN(E128,IF(F128="",E128,F128)),E128),E128))</f>
        <v/>
      </c>
      <c r="J128" s="14">
        <f>IF(E128="","",TRIM(IF(AND(E128&gt;=250,H128&lt;&gt;"Y"),"Receipt letter needed. ","")&amp;IF(AND(D128&lt;&gt;"Cash",E128&gt;5000),"Appraisal likely (&gt;$5,000 non-cash). ","")&amp;IF(AND(D128="Securities",G128="N"),"Short-term: limited to basis. ","")))</f>
        <v/>
      </c>
    </row>
    <row r="129">
      <c r="A129" s="10" t="n"/>
      <c r="B129" s="11" t="n"/>
      <c r="C129" s="11" t="n"/>
      <c r="D129" s="11" t="n"/>
      <c r="E129" s="12" t="n"/>
      <c r="F129" s="12" t="n"/>
      <c r="G129" s="11" t="n"/>
      <c r="H129" s="11" t="n"/>
      <c r="I129" s="13">
        <f>IF(OR(D129="",E129=""),"",IF(D129="Securities",IF(G129="N",MIN(E129,IF(F129="",E129,F129)),E129),E129))</f>
        <v/>
      </c>
      <c r="J129" s="14">
        <f>IF(E129="","",TRIM(IF(AND(E129&gt;=250,H129&lt;&gt;"Y"),"Receipt letter needed. ","")&amp;IF(AND(D129&lt;&gt;"Cash",E129&gt;5000),"Appraisal likely (&gt;$5,000 non-cash). ","")&amp;IF(AND(D129="Securities",G129="N"),"Short-term: limited to basis. ","")))</f>
        <v/>
      </c>
    </row>
    <row r="130">
      <c r="A130" s="10" t="n"/>
      <c r="B130" s="11" t="n"/>
      <c r="C130" s="11" t="n"/>
      <c r="D130" s="11" t="n"/>
      <c r="E130" s="12" t="n"/>
      <c r="F130" s="12" t="n"/>
      <c r="G130" s="11" t="n"/>
      <c r="H130" s="11" t="n"/>
      <c r="I130" s="13">
        <f>IF(OR(D130="",E130=""),"",IF(D130="Securities",IF(G130="N",MIN(E130,IF(F130="",E130,F130)),E130),E130))</f>
        <v/>
      </c>
      <c r="J130" s="14">
        <f>IF(E130="","",TRIM(IF(AND(E130&gt;=250,H130&lt;&gt;"Y"),"Receipt letter needed. ","")&amp;IF(AND(D130&lt;&gt;"Cash",E130&gt;5000),"Appraisal likely (&gt;$5,000 non-cash). ","")&amp;IF(AND(D130="Securities",G130="N"),"Short-term: limited to basis. ","")))</f>
        <v/>
      </c>
    </row>
    <row r="131">
      <c r="A131" s="10" t="n"/>
      <c r="B131" s="11" t="n"/>
      <c r="C131" s="11" t="n"/>
      <c r="D131" s="11" t="n"/>
      <c r="E131" s="12" t="n"/>
      <c r="F131" s="12" t="n"/>
      <c r="G131" s="11" t="n"/>
      <c r="H131" s="11" t="n"/>
      <c r="I131" s="13">
        <f>IF(OR(D131="",E131=""),"",IF(D131="Securities",IF(G131="N",MIN(E131,IF(F131="",E131,F131)),E131),E131))</f>
        <v/>
      </c>
      <c r="J131" s="14">
        <f>IF(E131="","",TRIM(IF(AND(E131&gt;=250,H131&lt;&gt;"Y"),"Receipt letter needed. ","")&amp;IF(AND(D131&lt;&gt;"Cash",E131&gt;5000),"Appraisal likely (&gt;$5,000 non-cash). ","")&amp;IF(AND(D131="Securities",G131="N"),"Short-term: limited to basis. ","")))</f>
        <v/>
      </c>
    </row>
    <row r="132">
      <c r="A132" s="10" t="n"/>
      <c r="B132" s="11" t="n"/>
      <c r="C132" s="11" t="n"/>
      <c r="D132" s="11" t="n"/>
      <c r="E132" s="12" t="n"/>
      <c r="F132" s="12" t="n"/>
      <c r="G132" s="11" t="n"/>
      <c r="H132" s="11" t="n"/>
      <c r="I132" s="13">
        <f>IF(OR(D132="",E132=""),"",IF(D132="Securities",IF(G132="N",MIN(E132,IF(F132="",E132,F132)),E132),E132))</f>
        <v/>
      </c>
      <c r="J132" s="14">
        <f>IF(E132="","",TRIM(IF(AND(E132&gt;=250,H132&lt;&gt;"Y"),"Receipt letter needed. ","")&amp;IF(AND(D132&lt;&gt;"Cash",E132&gt;5000),"Appraisal likely (&gt;$5,000 non-cash). ","")&amp;IF(AND(D132="Securities",G132="N"),"Short-term: limited to basis. ","")))</f>
        <v/>
      </c>
    </row>
    <row r="133">
      <c r="A133" s="10" t="n"/>
      <c r="B133" s="11" t="n"/>
      <c r="C133" s="11" t="n"/>
      <c r="D133" s="11" t="n"/>
      <c r="E133" s="12" t="n"/>
      <c r="F133" s="12" t="n"/>
      <c r="G133" s="11" t="n"/>
      <c r="H133" s="11" t="n"/>
      <c r="I133" s="13">
        <f>IF(OR(D133="",E133=""),"",IF(D133="Securities",IF(G133="N",MIN(E133,IF(F133="",E133,F133)),E133),E133))</f>
        <v/>
      </c>
      <c r="J133" s="14">
        <f>IF(E133="","",TRIM(IF(AND(E133&gt;=250,H133&lt;&gt;"Y"),"Receipt letter needed. ","")&amp;IF(AND(D133&lt;&gt;"Cash",E133&gt;5000),"Appraisal likely (&gt;$5,000 non-cash). ","")&amp;IF(AND(D133="Securities",G133="N"),"Short-term: limited to basis. ","")))</f>
        <v/>
      </c>
    </row>
    <row r="134">
      <c r="A134" s="10" t="n"/>
      <c r="B134" s="11" t="n"/>
      <c r="C134" s="11" t="n"/>
      <c r="D134" s="11" t="n"/>
      <c r="E134" s="12" t="n"/>
      <c r="F134" s="12" t="n"/>
      <c r="G134" s="11" t="n"/>
      <c r="H134" s="11" t="n"/>
      <c r="I134" s="13">
        <f>IF(OR(D134="",E134=""),"",IF(D134="Securities",IF(G134="N",MIN(E134,IF(F134="",E134,F134)),E134),E134))</f>
        <v/>
      </c>
      <c r="J134" s="14">
        <f>IF(E134="","",TRIM(IF(AND(E134&gt;=250,H134&lt;&gt;"Y"),"Receipt letter needed. ","")&amp;IF(AND(D134&lt;&gt;"Cash",E134&gt;5000),"Appraisal likely (&gt;$5,000 non-cash). ","")&amp;IF(AND(D134="Securities",G134="N"),"Short-term: limited to basis. ","")))</f>
        <v/>
      </c>
    </row>
    <row r="135">
      <c r="A135" s="10" t="n"/>
      <c r="B135" s="11" t="n"/>
      <c r="C135" s="11" t="n"/>
      <c r="D135" s="11" t="n"/>
      <c r="E135" s="12" t="n"/>
      <c r="F135" s="12" t="n"/>
      <c r="G135" s="11" t="n"/>
      <c r="H135" s="11" t="n"/>
      <c r="I135" s="13">
        <f>IF(OR(D135="",E135=""),"",IF(D135="Securities",IF(G135="N",MIN(E135,IF(F135="",E135,F135)),E135),E135))</f>
        <v/>
      </c>
      <c r="J135" s="14">
        <f>IF(E135="","",TRIM(IF(AND(E135&gt;=250,H135&lt;&gt;"Y"),"Receipt letter needed. ","")&amp;IF(AND(D135&lt;&gt;"Cash",E135&gt;5000),"Appraisal likely (&gt;$5,000 non-cash). ","")&amp;IF(AND(D135="Securities",G135="N"),"Short-term: limited to basis. ","")))</f>
        <v/>
      </c>
    </row>
    <row r="136">
      <c r="A136" s="10" t="n"/>
      <c r="B136" s="11" t="n"/>
      <c r="C136" s="11" t="n"/>
      <c r="D136" s="11" t="n"/>
      <c r="E136" s="12" t="n"/>
      <c r="F136" s="12" t="n"/>
      <c r="G136" s="11" t="n"/>
      <c r="H136" s="11" t="n"/>
      <c r="I136" s="13">
        <f>IF(OR(D136="",E136=""),"",IF(D136="Securities",IF(G136="N",MIN(E136,IF(F136="",E136,F136)),E136),E136))</f>
        <v/>
      </c>
      <c r="J136" s="14">
        <f>IF(E136="","",TRIM(IF(AND(E136&gt;=250,H136&lt;&gt;"Y"),"Receipt letter needed. ","")&amp;IF(AND(D136&lt;&gt;"Cash",E136&gt;5000),"Appraisal likely (&gt;$5,000 non-cash). ","")&amp;IF(AND(D136="Securities",G136="N"),"Short-term: limited to basis. ","")))</f>
        <v/>
      </c>
    </row>
    <row r="137">
      <c r="A137" s="10" t="n"/>
      <c r="B137" s="11" t="n"/>
      <c r="C137" s="11" t="n"/>
      <c r="D137" s="11" t="n"/>
      <c r="E137" s="12" t="n"/>
      <c r="F137" s="12" t="n"/>
      <c r="G137" s="11" t="n"/>
      <c r="H137" s="11" t="n"/>
      <c r="I137" s="13">
        <f>IF(OR(D137="",E137=""),"",IF(D137="Securities",IF(G137="N",MIN(E137,IF(F137="",E137,F137)),E137),E137))</f>
        <v/>
      </c>
      <c r="J137" s="14">
        <f>IF(E137="","",TRIM(IF(AND(E137&gt;=250,H137&lt;&gt;"Y"),"Receipt letter needed. ","")&amp;IF(AND(D137&lt;&gt;"Cash",E137&gt;5000),"Appraisal likely (&gt;$5,000 non-cash). ","")&amp;IF(AND(D137="Securities",G137="N"),"Short-term: limited to basis. ","")))</f>
        <v/>
      </c>
    </row>
    <row r="138">
      <c r="A138" s="10" t="n"/>
      <c r="B138" s="11" t="n"/>
      <c r="C138" s="11" t="n"/>
      <c r="D138" s="11" t="n"/>
      <c r="E138" s="12" t="n"/>
      <c r="F138" s="12" t="n"/>
      <c r="G138" s="11" t="n"/>
      <c r="H138" s="11" t="n"/>
      <c r="I138" s="13">
        <f>IF(OR(D138="",E138=""),"",IF(D138="Securities",IF(G138="N",MIN(E138,IF(F138="",E138,F138)),E138),E138))</f>
        <v/>
      </c>
      <c r="J138" s="14">
        <f>IF(E138="","",TRIM(IF(AND(E138&gt;=250,H138&lt;&gt;"Y"),"Receipt letter needed. ","")&amp;IF(AND(D138&lt;&gt;"Cash",E138&gt;5000),"Appraisal likely (&gt;$5,000 non-cash). ","")&amp;IF(AND(D138="Securities",G138="N"),"Short-term: limited to basis. ","")))</f>
        <v/>
      </c>
    </row>
    <row r="139">
      <c r="A139" s="10" t="n"/>
      <c r="B139" s="11" t="n"/>
      <c r="C139" s="11" t="n"/>
      <c r="D139" s="11" t="n"/>
      <c r="E139" s="12" t="n"/>
      <c r="F139" s="12" t="n"/>
      <c r="G139" s="11" t="n"/>
      <c r="H139" s="11" t="n"/>
      <c r="I139" s="13">
        <f>IF(OR(D139="",E139=""),"",IF(D139="Securities",IF(G139="N",MIN(E139,IF(F139="",E139,F139)),E139),E139))</f>
        <v/>
      </c>
      <c r="J139" s="14">
        <f>IF(E139="","",TRIM(IF(AND(E139&gt;=250,H139&lt;&gt;"Y"),"Receipt letter needed. ","")&amp;IF(AND(D139&lt;&gt;"Cash",E139&gt;5000),"Appraisal likely (&gt;$5,000 non-cash). ","")&amp;IF(AND(D139="Securities",G139="N"),"Short-term: limited to basis. ","")))</f>
        <v/>
      </c>
    </row>
    <row r="140">
      <c r="A140" s="10" t="n"/>
      <c r="B140" s="11" t="n"/>
      <c r="C140" s="11" t="n"/>
      <c r="D140" s="11" t="n"/>
      <c r="E140" s="12" t="n"/>
      <c r="F140" s="12" t="n"/>
      <c r="G140" s="11" t="n"/>
      <c r="H140" s="11" t="n"/>
      <c r="I140" s="13">
        <f>IF(OR(D140="",E140=""),"",IF(D140="Securities",IF(G140="N",MIN(E140,IF(F140="",E140,F140)),E140),E140))</f>
        <v/>
      </c>
      <c r="J140" s="14">
        <f>IF(E140="","",TRIM(IF(AND(E140&gt;=250,H140&lt;&gt;"Y"),"Receipt letter needed. ","")&amp;IF(AND(D140&lt;&gt;"Cash",E140&gt;5000),"Appraisal likely (&gt;$5,000 non-cash). ","")&amp;IF(AND(D140="Securities",G140="N"),"Short-term: limited to basis. ","")))</f>
        <v/>
      </c>
    </row>
    <row r="141">
      <c r="A141" s="10" t="n"/>
      <c r="B141" s="11" t="n"/>
      <c r="C141" s="11" t="n"/>
      <c r="D141" s="11" t="n"/>
      <c r="E141" s="12" t="n"/>
      <c r="F141" s="12" t="n"/>
      <c r="G141" s="11" t="n"/>
      <c r="H141" s="11" t="n"/>
      <c r="I141" s="13">
        <f>IF(OR(D141="",E141=""),"",IF(D141="Securities",IF(G141="N",MIN(E141,IF(F141="",E141,F141)),E141),E141))</f>
        <v/>
      </c>
      <c r="J141" s="14">
        <f>IF(E141="","",TRIM(IF(AND(E141&gt;=250,H141&lt;&gt;"Y"),"Receipt letter needed. ","")&amp;IF(AND(D141&lt;&gt;"Cash",E141&gt;5000),"Appraisal likely (&gt;$5,000 non-cash). ","")&amp;IF(AND(D141="Securities",G141="N"),"Short-term: limited to basis. ","")))</f>
        <v/>
      </c>
    </row>
    <row r="142">
      <c r="A142" s="10" t="n"/>
      <c r="B142" s="11" t="n"/>
      <c r="C142" s="11" t="n"/>
      <c r="D142" s="11" t="n"/>
      <c r="E142" s="12" t="n"/>
      <c r="F142" s="12" t="n"/>
      <c r="G142" s="11" t="n"/>
      <c r="H142" s="11" t="n"/>
      <c r="I142" s="13">
        <f>IF(OR(D142="",E142=""),"",IF(D142="Securities",IF(G142="N",MIN(E142,IF(F142="",E142,F142)),E142),E142))</f>
        <v/>
      </c>
      <c r="J142" s="14">
        <f>IF(E142="","",TRIM(IF(AND(E142&gt;=250,H142&lt;&gt;"Y"),"Receipt letter needed. ","")&amp;IF(AND(D142&lt;&gt;"Cash",E142&gt;5000),"Appraisal likely (&gt;$5,000 non-cash). ","")&amp;IF(AND(D142="Securities",G142="N"),"Short-term: limited to basis. ","")))</f>
        <v/>
      </c>
    </row>
    <row r="143">
      <c r="A143" s="10" t="n"/>
      <c r="B143" s="11" t="n"/>
      <c r="C143" s="11" t="n"/>
      <c r="D143" s="11" t="n"/>
      <c r="E143" s="12" t="n"/>
      <c r="F143" s="12" t="n"/>
      <c r="G143" s="11" t="n"/>
      <c r="H143" s="11" t="n"/>
      <c r="I143" s="13">
        <f>IF(OR(D143="",E143=""),"",IF(D143="Securities",IF(G143="N",MIN(E143,IF(F143="",E143,F143)),E143),E143))</f>
        <v/>
      </c>
      <c r="J143" s="14">
        <f>IF(E143="","",TRIM(IF(AND(E143&gt;=250,H143&lt;&gt;"Y"),"Receipt letter needed. ","")&amp;IF(AND(D143&lt;&gt;"Cash",E143&gt;5000),"Appraisal likely (&gt;$5,000 non-cash). ","")&amp;IF(AND(D143="Securities",G143="N"),"Short-term: limited to basis. ","")))</f>
        <v/>
      </c>
    </row>
    <row r="144">
      <c r="A144" s="10" t="n"/>
      <c r="B144" s="11" t="n"/>
      <c r="C144" s="11" t="n"/>
      <c r="D144" s="11" t="n"/>
      <c r="E144" s="12" t="n"/>
      <c r="F144" s="12" t="n"/>
      <c r="G144" s="11" t="n"/>
      <c r="H144" s="11" t="n"/>
      <c r="I144" s="13">
        <f>IF(OR(D144="",E144=""),"",IF(D144="Securities",IF(G144="N",MIN(E144,IF(F144="",E144,F144)),E144),E144))</f>
        <v/>
      </c>
      <c r="J144" s="14">
        <f>IF(E144="","",TRIM(IF(AND(E144&gt;=250,H144&lt;&gt;"Y"),"Receipt letter needed. ","")&amp;IF(AND(D144&lt;&gt;"Cash",E144&gt;5000),"Appraisal likely (&gt;$5,000 non-cash). ","")&amp;IF(AND(D144="Securities",G144="N"),"Short-term: limited to basis. ","")))</f>
        <v/>
      </c>
    </row>
    <row r="145">
      <c r="A145" s="10" t="n"/>
      <c r="B145" s="11" t="n"/>
      <c r="C145" s="11" t="n"/>
      <c r="D145" s="11" t="n"/>
      <c r="E145" s="12" t="n"/>
      <c r="F145" s="12" t="n"/>
      <c r="G145" s="11" t="n"/>
      <c r="H145" s="11" t="n"/>
      <c r="I145" s="13">
        <f>IF(OR(D145="",E145=""),"",IF(D145="Securities",IF(G145="N",MIN(E145,IF(F145="",E145,F145)),E145),E145))</f>
        <v/>
      </c>
      <c r="J145" s="14">
        <f>IF(E145="","",TRIM(IF(AND(E145&gt;=250,H145&lt;&gt;"Y"),"Receipt letter needed. ","")&amp;IF(AND(D145&lt;&gt;"Cash",E145&gt;5000),"Appraisal likely (&gt;$5,000 non-cash). ","")&amp;IF(AND(D145="Securities",G145="N"),"Short-term: limited to basis. ","")))</f>
        <v/>
      </c>
    </row>
    <row r="146">
      <c r="A146" s="10" t="n"/>
      <c r="B146" s="11" t="n"/>
      <c r="C146" s="11" t="n"/>
      <c r="D146" s="11" t="n"/>
      <c r="E146" s="12" t="n"/>
      <c r="F146" s="12" t="n"/>
      <c r="G146" s="11" t="n"/>
      <c r="H146" s="11" t="n"/>
      <c r="I146" s="13">
        <f>IF(OR(D146="",E146=""),"",IF(D146="Securities",IF(G146="N",MIN(E146,IF(F146="",E146,F146)),E146),E146))</f>
        <v/>
      </c>
      <c r="J146" s="14">
        <f>IF(E146="","",TRIM(IF(AND(E146&gt;=250,H146&lt;&gt;"Y"),"Receipt letter needed. ","")&amp;IF(AND(D146&lt;&gt;"Cash",E146&gt;5000),"Appraisal likely (&gt;$5,000 non-cash). ","")&amp;IF(AND(D146="Securities",G146="N"),"Short-term: limited to basis. ","")))</f>
        <v/>
      </c>
    </row>
    <row r="147">
      <c r="A147" s="10" t="n"/>
      <c r="B147" s="11" t="n"/>
      <c r="C147" s="11" t="n"/>
      <c r="D147" s="11" t="n"/>
      <c r="E147" s="12" t="n"/>
      <c r="F147" s="12" t="n"/>
      <c r="G147" s="11" t="n"/>
      <c r="H147" s="11" t="n"/>
      <c r="I147" s="13">
        <f>IF(OR(D147="",E147=""),"",IF(D147="Securities",IF(G147="N",MIN(E147,IF(F147="",E147,F147)),E147),E147))</f>
        <v/>
      </c>
      <c r="J147" s="14">
        <f>IF(E147="","",TRIM(IF(AND(E147&gt;=250,H147&lt;&gt;"Y"),"Receipt letter needed. ","")&amp;IF(AND(D147&lt;&gt;"Cash",E147&gt;5000),"Appraisal likely (&gt;$5,000 non-cash). ","")&amp;IF(AND(D147="Securities",G147="N"),"Short-term: limited to basis. ","")))</f>
        <v/>
      </c>
    </row>
    <row r="148">
      <c r="A148" s="10" t="n"/>
      <c r="B148" s="11" t="n"/>
      <c r="C148" s="11" t="n"/>
      <c r="D148" s="11" t="n"/>
      <c r="E148" s="12" t="n"/>
      <c r="F148" s="12" t="n"/>
      <c r="G148" s="11" t="n"/>
      <c r="H148" s="11" t="n"/>
      <c r="I148" s="13">
        <f>IF(OR(D148="",E148=""),"",IF(D148="Securities",IF(G148="N",MIN(E148,IF(F148="",E148,F148)),E148),E148))</f>
        <v/>
      </c>
      <c r="J148" s="14">
        <f>IF(E148="","",TRIM(IF(AND(E148&gt;=250,H148&lt;&gt;"Y"),"Receipt letter needed. ","")&amp;IF(AND(D148&lt;&gt;"Cash",E148&gt;5000),"Appraisal likely (&gt;$5,000 non-cash). ","")&amp;IF(AND(D148="Securities",G148="N"),"Short-term: limited to basis. ","")))</f>
        <v/>
      </c>
    </row>
    <row r="149">
      <c r="A149" s="10" t="n"/>
      <c r="B149" s="11" t="n"/>
      <c r="C149" s="11" t="n"/>
      <c r="D149" s="11" t="n"/>
      <c r="E149" s="12" t="n"/>
      <c r="F149" s="12" t="n"/>
      <c r="G149" s="11" t="n"/>
      <c r="H149" s="11" t="n"/>
      <c r="I149" s="13">
        <f>IF(OR(D149="",E149=""),"",IF(D149="Securities",IF(G149="N",MIN(E149,IF(F149="",E149,F149)),E149),E149))</f>
        <v/>
      </c>
      <c r="J149" s="14">
        <f>IF(E149="","",TRIM(IF(AND(E149&gt;=250,H149&lt;&gt;"Y"),"Receipt letter needed. ","")&amp;IF(AND(D149&lt;&gt;"Cash",E149&gt;5000),"Appraisal likely (&gt;$5,000 non-cash). ","")&amp;IF(AND(D149="Securities",G149="N"),"Short-term: limited to basis. ","")))</f>
        <v/>
      </c>
    </row>
    <row r="150">
      <c r="A150" s="10" t="n"/>
      <c r="B150" s="11" t="n"/>
      <c r="C150" s="11" t="n"/>
      <c r="D150" s="11" t="n"/>
      <c r="E150" s="12" t="n"/>
      <c r="F150" s="12" t="n"/>
      <c r="G150" s="11" t="n"/>
      <c r="H150" s="11" t="n"/>
      <c r="I150" s="13">
        <f>IF(OR(D150="",E150=""),"",IF(D150="Securities",IF(G150="N",MIN(E150,IF(F150="",E150,F150)),E150),E150))</f>
        <v/>
      </c>
      <c r="J150" s="14">
        <f>IF(E150="","",TRIM(IF(AND(E150&gt;=250,H150&lt;&gt;"Y"),"Receipt letter needed. ","")&amp;IF(AND(D150&lt;&gt;"Cash",E150&gt;5000),"Appraisal likely (&gt;$5,000 non-cash). ","")&amp;IF(AND(D150="Securities",G150="N"),"Short-term: limited to basis. ","")))</f>
        <v/>
      </c>
    </row>
    <row r="151">
      <c r="A151" s="10" t="n"/>
      <c r="B151" s="11" t="n"/>
      <c r="C151" s="11" t="n"/>
      <c r="D151" s="11" t="n"/>
      <c r="E151" s="12" t="n"/>
      <c r="F151" s="12" t="n"/>
      <c r="G151" s="11" t="n"/>
      <c r="H151" s="11" t="n"/>
      <c r="I151" s="13">
        <f>IF(OR(D151="",E151=""),"",IF(D151="Securities",IF(G151="N",MIN(E151,IF(F151="",E151,F151)),E151),E151))</f>
        <v/>
      </c>
      <c r="J151" s="14">
        <f>IF(E151="","",TRIM(IF(AND(E151&gt;=250,H151&lt;&gt;"Y"),"Receipt letter needed. ","")&amp;IF(AND(D151&lt;&gt;"Cash",E151&gt;5000),"Appraisal likely (&gt;$5,000 non-cash). ","")&amp;IF(AND(D151="Securities",G151="N"),"Short-term: limited to basis. ","")))</f>
        <v/>
      </c>
    </row>
    <row r="152">
      <c r="A152" s="10" t="n"/>
      <c r="B152" s="11" t="n"/>
      <c r="C152" s="11" t="n"/>
      <c r="D152" s="11" t="n"/>
      <c r="E152" s="12" t="n"/>
      <c r="F152" s="12" t="n"/>
      <c r="G152" s="11" t="n"/>
      <c r="H152" s="11" t="n"/>
      <c r="I152" s="13">
        <f>IF(OR(D152="",E152=""),"",IF(D152="Securities",IF(G152="N",MIN(E152,IF(F152="",E152,F152)),E152),E152))</f>
        <v/>
      </c>
      <c r="J152" s="14">
        <f>IF(E152="","",TRIM(IF(AND(E152&gt;=250,H152&lt;&gt;"Y"),"Receipt letter needed. ","")&amp;IF(AND(D152&lt;&gt;"Cash",E152&gt;5000),"Appraisal likely (&gt;$5,000 non-cash). ","")&amp;IF(AND(D152="Securities",G152="N"),"Short-term: limited to basis. ","")))</f>
        <v/>
      </c>
    </row>
    <row r="153">
      <c r="A153" s="10" t="n"/>
      <c r="B153" s="11" t="n"/>
      <c r="C153" s="11" t="n"/>
      <c r="D153" s="11" t="n"/>
      <c r="E153" s="12" t="n"/>
      <c r="F153" s="12" t="n"/>
      <c r="G153" s="11" t="n"/>
      <c r="H153" s="11" t="n"/>
      <c r="I153" s="13">
        <f>IF(OR(D153="",E153=""),"",IF(D153="Securities",IF(G153="N",MIN(E153,IF(F153="",E153,F153)),E153),E153))</f>
        <v/>
      </c>
      <c r="J153" s="14">
        <f>IF(E153="","",TRIM(IF(AND(E153&gt;=250,H153&lt;&gt;"Y"),"Receipt letter needed. ","")&amp;IF(AND(D153&lt;&gt;"Cash",E153&gt;5000),"Appraisal likely (&gt;$5,000 non-cash). ","")&amp;IF(AND(D153="Securities",G153="N"),"Short-term: limited to basis. ","")))</f>
        <v/>
      </c>
    </row>
    <row r="154">
      <c r="A154" s="10" t="n"/>
      <c r="B154" s="11" t="n"/>
      <c r="C154" s="11" t="n"/>
      <c r="D154" s="11" t="n"/>
      <c r="E154" s="12" t="n"/>
      <c r="F154" s="12" t="n"/>
      <c r="G154" s="11" t="n"/>
      <c r="H154" s="11" t="n"/>
      <c r="I154" s="13">
        <f>IF(OR(D154="",E154=""),"",IF(D154="Securities",IF(G154="N",MIN(E154,IF(F154="",E154,F154)),E154),E154))</f>
        <v/>
      </c>
      <c r="J154" s="14">
        <f>IF(E154="","",TRIM(IF(AND(E154&gt;=250,H154&lt;&gt;"Y"),"Receipt letter needed. ","")&amp;IF(AND(D154&lt;&gt;"Cash",E154&gt;5000),"Appraisal likely (&gt;$5,000 non-cash). ","")&amp;IF(AND(D154="Securities",G154="N"),"Short-term: limited to basis. ","")))</f>
        <v/>
      </c>
    </row>
    <row r="155">
      <c r="A155" s="10" t="n"/>
      <c r="B155" s="11" t="n"/>
      <c r="C155" s="11" t="n"/>
      <c r="D155" s="11" t="n"/>
      <c r="E155" s="12" t="n"/>
      <c r="F155" s="12" t="n"/>
      <c r="G155" s="11" t="n"/>
      <c r="H155" s="11" t="n"/>
      <c r="I155" s="13">
        <f>IF(OR(D155="",E155=""),"",IF(D155="Securities",IF(G155="N",MIN(E155,IF(F155="",E155,F155)),E155),E155))</f>
        <v/>
      </c>
      <c r="J155" s="14">
        <f>IF(E155="","",TRIM(IF(AND(E155&gt;=250,H155&lt;&gt;"Y"),"Receipt letter needed. ","")&amp;IF(AND(D155&lt;&gt;"Cash",E155&gt;5000),"Appraisal likely (&gt;$5,000 non-cash). ","")&amp;IF(AND(D155="Securities",G155="N"),"Short-term: limited to basis. ","")))</f>
        <v/>
      </c>
    </row>
    <row r="156">
      <c r="A156" s="10" t="n"/>
      <c r="B156" s="11" t="n"/>
      <c r="C156" s="11" t="n"/>
      <c r="D156" s="11" t="n"/>
      <c r="E156" s="12" t="n"/>
      <c r="F156" s="12" t="n"/>
      <c r="G156" s="11" t="n"/>
      <c r="H156" s="11" t="n"/>
      <c r="I156" s="13">
        <f>IF(OR(D156="",E156=""),"",IF(D156="Securities",IF(G156="N",MIN(E156,IF(F156="",E156,F156)),E156),E156))</f>
        <v/>
      </c>
      <c r="J156" s="14">
        <f>IF(E156="","",TRIM(IF(AND(E156&gt;=250,H156&lt;&gt;"Y"),"Receipt letter needed. ","")&amp;IF(AND(D156&lt;&gt;"Cash",E156&gt;5000),"Appraisal likely (&gt;$5,000 non-cash). ","")&amp;IF(AND(D156="Securities",G156="N"),"Short-term: limited to basis. ","")))</f>
        <v/>
      </c>
    </row>
    <row r="157">
      <c r="A157" s="10" t="n"/>
      <c r="B157" s="11" t="n"/>
      <c r="C157" s="11" t="n"/>
      <c r="D157" s="11" t="n"/>
      <c r="E157" s="12" t="n"/>
      <c r="F157" s="12" t="n"/>
      <c r="G157" s="11" t="n"/>
      <c r="H157" s="11" t="n"/>
      <c r="I157" s="13">
        <f>IF(OR(D157="",E157=""),"",IF(D157="Securities",IF(G157="N",MIN(E157,IF(F157="",E157,F157)),E157),E157))</f>
        <v/>
      </c>
      <c r="J157" s="14">
        <f>IF(E157="","",TRIM(IF(AND(E157&gt;=250,H157&lt;&gt;"Y"),"Receipt letter needed. ","")&amp;IF(AND(D157&lt;&gt;"Cash",E157&gt;5000),"Appraisal likely (&gt;$5,000 non-cash). ","")&amp;IF(AND(D157="Securities",G157="N"),"Short-term: limited to basis. ","")))</f>
        <v/>
      </c>
    </row>
    <row r="158">
      <c r="A158" s="10" t="n"/>
      <c r="B158" s="11" t="n"/>
      <c r="C158" s="11" t="n"/>
      <c r="D158" s="11" t="n"/>
      <c r="E158" s="12" t="n"/>
      <c r="F158" s="12" t="n"/>
      <c r="G158" s="11" t="n"/>
      <c r="H158" s="11" t="n"/>
      <c r="I158" s="13">
        <f>IF(OR(D158="",E158=""),"",IF(D158="Securities",IF(G158="N",MIN(E158,IF(F158="",E158,F158)),E158),E158))</f>
        <v/>
      </c>
      <c r="J158" s="14">
        <f>IF(E158="","",TRIM(IF(AND(E158&gt;=250,H158&lt;&gt;"Y"),"Receipt letter needed. ","")&amp;IF(AND(D158&lt;&gt;"Cash",E158&gt;5000),"Appraisal likely (&gt;$5,000 non-cash). ","")&amp;IF(AND(D158="Securities",G158="N"),"Short-term: limited to basis. ","")))</f>
        <v/>
      </c>
    </row>
    <row r="159">
      <c r="A159" s="10" t="n"/>
      <c r="B159" s="11" t="n"/>
      <c r="C159" s="11" t="n"/>
      <c r="D159" s="11" t="n"/>
      <c r="E159" s="12" t="n"/>
      <c r="F159" s="12" t="n"/>
      <c r="G159" s="11" t="n"/>
      <c r="H159" s="11" t="n"/>
      <c r="I159" s="13">
        <f>IF(OR(D159="",E159=""),"",IF(D159="Securities",IF(G159="N",MIN(E159,IF(F159="",E159,F159)),E159),E159))</f>
        <v/>
      </c>
      <c r="J159" s="14">
        <f>IF(E159="","",TRIM(IF(AND(E159&gt;=250,H159&lt;&gt;"Y"),"Receipt letter needed. ","")&amp;IF(AND(D159&lt;&gt;"Cash",E159&gt;5000),"Appraisal likely (&gt;$5,000 non-cash). ","")&amp;IF(AND(D159="Securities",G159="N"),"Short-term: limited to basis. ","")))</f>
        <v/>
      </c>
    </row>
    <row r="160">
      <c r="A160" s="10" t="n"/>
      <c r="B160" s="11" t="n"/>
      <c r="C160" s="11" t="n"/>
      <c r="D160" s="11" t="n"/>
      <c r="E160" s="12" t="n"/>
      <c r="F160" s="12" t="n"/>
      <c r="G160" s="11" t="n"/>
      <c r="H160" s="11" t="n"/>
      <c r="I160" s="13">
        <f>IF(OR(D160="",E160=""),"",IF(D160="Securities",IF(G160="N",MIN(E160,IF(F160="",E160,F160)),E160),E160))</f>
        <v/>
      </c>
      <c r="J160" s="14">
        <f>IF(E160="","",TRIM(IF(AND(E160&gt;=250,H160&lt;&gt;"Y"),"Receipt letter needed. ","")&amp;IF(AND(D160&lt;&gt;"Cash",E160&gt;5000),"Appraisal likely (&gt;$5,000 non-cash). ","")&amp;IF(AND(D160="Securities",G160="N"),"Short-term: limited to basis. ","")))</f>
        <v/>
      </c>
    </row>
    <row r="161">
      <c r="A161" s="10" t="n"/>
      <c r="B161" s="11" t="n"/>
      <c r="C161" s="11" t="n"/>
      <c r="D161" s="11" t="n"/>
      <c r="E161" s="12" t="n"/>
      <c r="F161" s="12" t="n"/>
      <c r="G161" s="11" t="n"/>
      <c r="H161" s="11" t="n"/>
      <c r="I161" s="13">
        <f>IF(OR(D161="",E161=""),"",IF(D161="Securities",IF(G161="N",MIN(E161,IF(F161="",E161,F161)),E161),E161))</f>
        <v/>
      </c>
      <c r="J161" s="14">
        <f>IF(E161="","",TRIM(IF(AND(E161&gt;=250,H161&lt;&gt;"Y"),"Receipt letter needed. ","")&amp;IF(AND(D161&lt;&gt;"Cash",E161&gt;5000),"Appraisal likely (&gt;$5,000 non-cash). ","")&amp;IF(AND(D161="Securities",G161="N"),"Short-term: limited to basis. ","")))</f>
        <v/>
      </c>
    </row>
    <row r="162">
      <c r="A162" s="10" t="n"/>
      <c r="B162" s="11" t="n"/>
      <c r="C162" s="11" t="n"/>
      <c r="D162" s="11" t="n"/>
      <c r="E162" s="12" t="n"/>
      <c r="F162" s="12" t="n"/>
      <c r="G162" s="11" t="n"/>
      <c r="H162" s="11" t="n"/>
      <c r="I162" s="13">
        <f>IF(OR(D162="",E162=""),"",IF(D162="Securities",IF(G162="N",MIN(E162,IF(F162="",E162,F162)),E162),E162))</f>
        <v/>
      </c>
      <c r="J162" s="14">
        <f>IF(E162="","",TRIM(IF(AND(E162&gt;=250,H162&lt;&gt;"Y"),"Receipt letter needed. ","")&amp;IF(AND(D162&lt;&gt;"Cash",E162&gt;5000),"Appraisal likely (&gt;$5,000 non-cash). ","")&amp;IF(AND(D162="Securities",G162="N"),"Short-term: limited to basis. ","")))</f>
        <v/>
      </c>
    </row>
    <row r="163">
      <c r="A163" s="10" t="n"/>
      <c r="B163" s="11" t="n"/>
      <c r="C163" s="11" t="n"/>
      <c r="D163" s="11" t="n"/>
      <c r="E163" s="12" t="n"/>
      <c r="F163" s="12" t="n"/>
      <c r="G163" s="11" t="n"/>
      <c r="H163" s="11" t="n"/>
      <c r="I163" s="13">
        <f>IF(OR(D163="",E163=""),"",IF(D163="Securities",IF(G163="N",MIN(E163,IF(F163="",E163,F163)),E163),E163))</f>
        <v/>
      </c>
      <c r="J163" s="14">
        <f>IF(E163="","",TRIM(IF(AND(E163&gt;=250,H163&lt;&gt;"Y"),"Receipt letter needed. ","")&amp;IF(AND(D163&lt;&gt;"Cash",E163&gt;5000),"Appraisal likely (&gt;$5,000 non-cash). ","")&amp;IF(AND(D163="Securities",G163="N"),"Short-term: limited to basis. ","")))</f>
        <v/>
      </c>
    </row>
    <row r="164">
      <c r="A164" s="10" t="n"/>
      <c r="B164" s="11" t="n"/>
      <c r="C164" s="11" t="n"/>
      <c r="D164" s="11" t="n"/>
      <c r="E164" s="12" t="n"/>
      <c r="F164" s="12" t="n"/>
      <c r="G164" s="11" t="n"/>
      <c r="H164" s="11" t="n"/>
      <c r="I164" s="13">
        <f>IF(OR(D164="",E164=""),"",IF(D164="Securities",IF(G164="N",MIN(E164,IF(F164="",E164,F164)),E164),E164))</f>
        <v/>
      </c>
      <c r="J164" s="14">
        <f>IF(E164="","",TRIM(IF(AND(E164&gt;=250,H164&lt;&gt;"Y"),"Receipt letter needed. ","")&amp;IF(AND(D164&lt;&gt;"Cash",E164&gt;5000),"Appraisal likely (&gt;$5,000 non-cash). ","")&amp;IF(AND(D164="Securities",G164="N"),"Short-term: limited to basis. ","")))</f>
        <v/>
      </c>
    </row>
    <row r="165">
      <c r="A165" s="10" t="n"/>
      <c r="B165" s="11" t="n"/>
      <c r="C165" s="11" t="n"/>
      <c r="D165" s="11" t="n"/>
      <c r="E165" s="12" t="n"/>
      <c r="F165" s="12" t="n"/>
      <c r="G165" s="11" t="n"/>
      <c r="H165" s="11" t="n"/>
      <c r="I165" s="13">
        <f>IF(OR(D165="",E165=""),"",IF(D165="Securities",IF(G165="N",MIN(E165,IF(F165="",E165,F165)),E165),E165))</f>
        <v/>
      </c>
      <c r="J165" s="14">
        <f>IF(E165="","",TRIM(IF(AND(E165&gt;=250,H165&lt;&gt;"Y"),"Receipt letter needed. ","")&amp;IF(AND(D165&lt;&gt;"Cash",E165&gt;5000),"Appraisal likely (&gt;$5,000 non-cash). ","")&amp;IF(AND(D165="Securities",G165="N"),"Short-term: limited to basis. ","")))</f>
        <v/>
      </c>
    </row>
    <row r="166">
      <c r="A166" s="10" t="n"/>
      <c r="B166" s="11" t="n"/>
      <c r="C166" s="11" t="n"/>
      <c r="D166" s="11" t="n"/>
      <c r="E166" s="12" t="n"/>
      <c r="F166" s="12" t="n"/>
      <c r="G166" s="11" t="n"/>
      <c r="H166" s="11" t="n"/>
      <c r="I166" s="13">
        <f>IF(OR(D166="",E166=""),"",IF(D166="Securities",IF(G166="N",MIN(E166,IF(F166="",E166,F166)),E166),E166))</f>
        <v/>
      </c>
      <c r="J166" s="14">
        <f>IF(E166="","",TRIM(IF(AND(E166&gt;=250,H166&lt;&gt;"Y"),"Receipt letter needed. ","")&amp;IF(AND(D166&lt;&gt;"Cash",E166&gt;5000),"Appraisal likely (&gt;$5,000 non-cash). ","")&amp;IF(AND(D166="Securities",G166="N"),"Short-term: limited to basis. ","")))</f>
        <v/>
      </c>
    </row>
    <row r="167">
      <c r="A167" s="10" t="n"/>
      <c r="B167" s="11" t="n"/>
      <c r="C167" s="11" t="n"/>
      <c r="D167" s="11" t="n"/>
      <c r="E167" s="12" t="n"/>
      <c r="F167" s="12" t="n"/>
      <c r="G167" s="11" t="n"/>
      <c r="H167" s="11" t="n"/>
      <c r="I167" s="13">
        <f>IF(OR(D167="",E167=""),"",IF(D167="Securities",IF(G167="N",MIN(E167,IF(F167="",E167,F167)),E167),E167))</f>
        <v/>
      </c>
      <c r="J167" s="14">
        <f>IF(E167="","",TRIM(IF(AND(E167&gt;=250,H167&lt;&gt;"Y"),"Receipt letter needed. ","")&amp;IF(AND(D167&lt;&gt;"Cash",E167&gt;5000),"Appraisal likely (&gt;$5,000 non-cash). ","")&amp;IF(AND(D167="Securities",G167="N"),"Short-term: limited to basis. ","")))</f>
        <v/>
      </c>
    </row>
    <row r="168">
      <c r="A168" s="10" t="n"/>
      <c r="B168" s="11" t="n"/>
      <c r="C168" s="11" t="n"/>
      <c r="D168" s="11" t="n"/>
      <c r="E168" s="12" t="n"/>
      <c r="F168" s="12" t="n"/>
      <c r="G168" s="11" t="n"/>
      <c r="H168" s="11" t="n"/>
      <c r="I168" s="13">
        <f>IF(OR(D168="",E168=""),"",IF(D168="Securities",IF(G168="N",MIN(E168,IF(F168="",E168,F168)),E168),E168))</f>
        <v/>
      </c>
      <c r="J168" s="14">
        <f>IF(E168="","",TRIM(IF(AND(E168&gt;=250,H168&lt;&gt;"Y"),"Receipt letter needed. ","")&amp;IF(AND(D168&lt;&gt;"Cash",E168&gt;5000),"Appraisal likely (&gt;$5,000 non-cash). ","")&amp;IF(AND(D168="Securities",G168="N"),"Short-term: limited to basis. ","")))</f>
        <v/>
      </c>
    </row>
    <row r="169">
      <c r="A169" s="10" t="n"/>
      <c r="B169" s="11" t="n"/>
      <c r="C169" s="11" t="n"/>
      <c r="D169" s="11" t="n"/>
      <c r="E169" s="12" t="n"/>
      <c r="F169" s="12" t="n"/>
      <c r="G169" s="11" t="n"/>
      <c r="H169" s="11" t="n"/>
      <c r="I169" s="13">
        <f>IF(OR(D169="",E169=""),"",IF(D169="Securities",IF(G169="N",MIN(E169,IF(F169="",E169,F169)),E169),E169))</f>
        <v/>
      </c>
      <c r="J169" s="14">
        <f>IF(E169="","",TRIM(IF(AND(E169&gt;=250,H169&lt;&gt;"Y"),"Receipt letter needed. ","")&amp;IF(AND(D169&lt;&gt;"Cash",E169&gt;5000),"Appraisal likely (&gt;$5,000 non-cash). ","")&amp;IF(AND(D169="Securities",G169="N"),"Short-term: limited to basis. ","")))</f>
        <v/>
      </c>
    </row>
    <row r="170">
      <c r="A170" s="10" t="n"/>
      <c r="B170" s="11" t="n"/>
      <c r="C170" s="11" t="n"/>
      <c r="D170" s="11" t="n"/>
      <c r="E170" s="12" t="n"/>
      <c r="F170" s="12" t="n"/>
      <c r="G170" s="11" t="n"/>
      <c r="H170" s="11" t="n"/>
      <c r="I170" s="13">
        <f>IF(OR(D170="",E170=""),"",IF(D170="Securities",IF(G170="N",MIN(E170,IF(F170="",E170,F170)),E170),E170))</f>
        <v/>
      </c>
      <c r="J170" s="14">
        <f>IF(E170="","",TRIM(IF(AND(E170&gt;=250,H170&lt;&gt;"Y"),"Receipt letter needed. ","")&amp;IF(AND(D170&lt;&gt;"Cash",E170&gt;5000),"Appraisal likely (&gt;$5,000 non-cash). ","")&amp;IF(AND(D170="Securities",G170="N"),"Short-term: limited to basis. ","")))</f>
        <v/>
      </c>
    </row>
    <row r="171">
      <c r="A171" s="10" t="n"/>
      <c r="B171" s="11" t="n"/>
      <c r="C171" s="11" t="n"/>
      <c r="D171" s="11" t="n"/>
      <c r="E171" s="12" t="n"/>
      <c r="F171" s="12" t="n"/>
      <c r="G171" s="11" t="n"/>
      <c r="H171" s="11" t="n"/>
      <c r="I171" s="13">
        <f>IF(OR(D171="",E171=""),"",IF(D171="Securities",IF(G171="N",MIN(E171,IF(F171="",E171,F171)),E171),E171))</f>
        <v/>
      </c>
      <c r="J171" s="14">
        <f>IF(E171="","",TRIM(IF(AND(E171&gt;=250,H171&lt;&gt;"Y"),"Receipt letter needed. ","")&amp;IF(AND(D171&lt;&gt;"Cash",E171&gt;5000),"Appraisal likely (&gt;$5,000 non-cash). ","")&amp;IF(AND(D171="Securities",G171="N"),"Short-term: limited to basis. ","")))</f>
        <v/>
      </c>
    </row>
    <row r="172">
      <c r="A172" s="10" t="n"/>
      <c r="B172" s="11" t="n"/>
      <c r="C172" s="11" t="n"/>
      <c r="D172" s="11" t="n"/>
      <c r="E172" s="12" t="n"/>
      <c r="F172" s="12" t="n"/>
      <c r="G172" s="11" t="n"/>
      <c r="H172" s="11" t="n"/>
      <c r="I172" s="13">
        <f>IF(OR(D172="",E172=""),"",IF(D172="Securities",IF(G172="N",MIN(E172,IF(F172="",E172,F172)),E172),E172))</f>
        <v/>
      </c>
      <c r="J172" s="14">
        <f>IF(E172="","",TRIM(IF(AND(E172&gt;=250,H172&lt;&gt;"Y"),"Receipt letter needed. ","")&amp;IF(AND(D172&lt;&gt;"Cash",E172&gt;5000),"Appraisal likely (&gt;$5,000 non-cash). ","")&amp;IF(AND(D172="Securities",G172="N"),"Short-term: limited to basis. ","")))</f>
        <v/>
      </c>
    </row>
    <row r="173">
      <c r="A173" s="10" t="n"/>
      <c r="B173" s="11" t="n"/>
      <c r="C173" s="11" t="n"/>
      <c r="D173" s="11" t="n"/>
      <c r="E173" s="12" t="n"/>
      <c r="F173" s="12" t="n"/>
      <c r="G173" s="11" t="n"/>
      <c r="H173" s="11" t="n"/>
      <c r="I173" s="13">
        <f>IF(OR(D173="",E173=""),"",IF(D173="Securities",IF(G173="N",MIN(E173,IF(F173="",E173,F173)),E173),E173))</f>
        <v/>
      </c>
      <c r="J173" s="14">
        <f>IF(E173="","",TRIM(IF(AND(E173&gt;=250,H173&lt;&gt;"Y"),"Receipt letter needed. ","")&amp;IF(AND(D173&lt;&gt;"Cash",E173&gt;5000),"Appraisal likely (&gt;$5,000 non-cash). ","")&amp;IF(AND(D173="Securities",G173="N"),"Short-term: limited to basis. ","")))</f>
        <v/>
      </c>
    </row>
    <row r="174">
      <c r="A174" s="10" t="n"/>
      <c r="B174" s="11" t="n"/>
      <c r="C174" s="11" t="n"/>
      <c r="D174" s="11" t="n"/>
      <c r="E174" s="12" t="n"/>
      <c r="F174" s="12" t="n"/>
      <c r="G174" s="11" t="n"/>
      <c r="H174" s="11" t="n"/>
      <c r="I174" s="13">
        <f>IF(OR(D174="",E174=""),"",IF(D174="Securities",IF(G174="N",MIN(E174,IF(F174="",E174,F174)),E174),E174))</f>
        <v/>
      </c>
      <c r="J174" s="14">
        <f>IF(E174="","",TRIM(IF(AND(E174&gt;=250,H174&lt;&gt;"Y"),"Receipt letter needed. ","")&amp;IF(AND(D174&lt;&gt;"Cash",E174&gt;5000),"Appraisal likely (&gt;$5,000 non-cash). ","")&amp;IF(AND(D174="Securities",G174="N"),"Short-term: limited to basis. ","")))</f>
        <v/>
      </c>
    </row>
    <row r="175">
      <c r="A175" s="10" t="n"/>
      <c r="B175" s="11" t="n"/>
      <c r="C175" s="11" t="n"/>
      <c r="D175" s="11" t="n"/>
      <c r="E175" s="12" t="n"/>
      <c r="F175" s="12" t="n"/>
      <c r="G175" s="11" t="n"/>
      <c r="H175" s="11" t="n"/>
      <c r="I175" s="13">
        <f>IF(OR(D175="",E175=""),"",IF(D175="Securities",IF(G175="N",MIN(E175,IF(F175="",E175,F175)),E175),E175))</f>
        <v/>
      </c>
      <c r="J175" s="14">
        <f>IF(E175="","",TRIM(IF(AND(E175&gt;=250,H175&lt;&gt;"Y"),"Receipt letter needed. ","")&amp;IF(AND(D175&lt;&gt;"Cash",E175&gt;5000),"Appraisal likely (&gt;$5,000 non-cash). ","")&amp;IF(AND(D175="Securities",G175="N"),"Short-term: limited to basis. ","")))</f>
        <v/>
      </c>
    </row>
    <row r="176">
      <c r="A176" s="10" t="n"/>
      <c r="B176" s="11" t="n"/>
      <c r="C176" s="11" t="n"/>
      <c r="D176" s="11" t="n"/>
      <c r="E176" s="12" t="n"/>
      <c r="F176" s="12" t="n"/>
      <c r="G176" s="11" t="n"/>
      <c r="H176" s="11" t="n"/>
      <c r="I176" s="13">
        <f>IF(OR(D176="",E176=""),"",IF(D176="Securities",IF(G176="N",MIN(E176,IF(F176="",E176,F176)),E176),E176))</f>
        <v/>
      </c>
      <c r="J176" s="14">
        <f>IF(E176="","",TRIM(IF(AND(E176&gt;=250,H176&lt;&gt;"Y"),"Receipt letter needed. ","")&amp;IF(AND(D176&lt;&gt;"Cash",E176&gt;5000),"Appraisal likely (&gt;$5,000 non-cash). ","")&amp;IF(AND(D176="Securities",G176="N"),"Short-term: limited to basis. ","")))</f>
        <v/>
      </c>
    </row>
    <row r="177">
      <c r="A177" s="10" t="n"/>
      <c r="B177" s="11" t="n"/>
      <c r="C177" s="11" t="n"/>
      <c r="D177" s="11" t="n"/>
      <c r="E177" s="12" t="n"/>
      <c r="F177" s="12" t="n"/>
      <c r="G177" s="11" t="n"/>
      <c r="H177" s="11" t="n"/>
      <c r="I177" s="13">
        <f>IF(OR(D177="",E177=""),"",IF(D177="Securities",IF(G177="N",MIN(E177,IF(F177="",E177,F177)),E177),E177))</f>
        <v/>
      </c>
      <c r="J177" s="14">
        <f>IF(E177="","",TRIM(IF(AND(E177&gt;=250,H177&lt;&gt;"Y"),"Receipt letter needed. ","")&amp;IF(AND(D177&lt;&gt;"Cash",E177&gt;5000),"Appraisal likely (&gt;$5,000 non-cash). ","")&amp;IF(AND(D177="Securities",G177="N"),"Short-term: limited to basis. ","")))</f>
        <v/>
      </c>
    </row>
    <row r="178">
      <c r="A178" s="10" t="n"/>
      <c r="B178" s="11" t="n"/>
      <c r="C178" s="11" t="n"/>
      <c r="D178" s="11" t="n"/>
      <c r="E178" s="12" t="n"/>
      <c r="F178" s="12" t="n"/>
      <c r="G178" s="11" t="n"/>
      <c r="H178" s="11" t="n"/>
      <c r="I178" s="13">
        <f>IF(OR(D178="",E178=""),"",IF(D178="Securities",IF(G178="N",MIN(E178,IF(F178="",E178,F178)),E178),E178))</f>
        <v/>
      </c>
      <c r="J178" s="14">
        <f>IF(E178="","",TRIM(IF(AND(E178&gt;=250,H178&lt;&gt;"Y"),"Receipt letter needed. ","")&amp;IF(AND(D178&lt;&gt;"Cash",E178&gt;5000),"Appraisal likely (&gt;$5,000 non-cash). ","")&amp;IF(AND(D178="Securities",G178="N"),"Short-term: limited to basis. ","")))</f>
        <v/>
      </c>
    </row>
    <row r="179">
      <c r="A179" s="10" t="n"/>
      <c r="B179" s="11" t="n"/>
      <c r="C179" s="11" t="n"/>
      <c r="D179" s="11" t="n"/>
      <c r="E179" s="12" t="n"/>
      <c r="F179" s="12" t="n"/>
      <c r="G179" s="11" t="n"/>
      <c r="H179" s="11" t="n"/>
      <c r="I179" s="13">
        <f>IF(OR(D179="",E179=""),"",IF(D179="Securities",IF(G179="N",MIN(E179,IF(F179="",E179,F179)),E179),E179))</f>
        <v/>
      </c>
      <c r="J179" s="14">
        <f>IF(E179="","",TRIM(IF(AND(E179&gt;=250,H179&lt;&gt;"Y"),"Receipt letter needed. ","")&amp;IF(AND(D179&lt;&gt;"Cash",E179&gt;5000),"Appraisal likely (&gt;$5,000 non-cash). ","")&amp;IF(AND(D179="Securities",G179="N"),"Short-term: limited to basis. ","")))</f>
        <v/>
      </c>
    </row>
    <row r="180">
      <c r="A180" s="10" t="n"/>
      <c r="B180" s="11" t="n"/>
      <c r="C180" s="11" t="n"/>
      <c r="D180" s="11" t="n"/>
      <c r="E180" s="12" t="n"/>
      <c r="F180" s="12" t="n"/>
      <c r="G180" s="11" t="n"/>
      <c r="H180" s="11" t="n"/>
      <c r="I180" s="13">
        <f>IF(OR(D180="",E180=""),"",IF(D180="Securities",IF(G180="N",MIN(E180,IF(F180="",E180,F180)),E180),E180))</f>
        <v/>
      </c>
      <c r="J180" s="14">
        <f>IF(E180="","",TRIM(IF(AND(E180&gt;=250,H180&lt;&gt;"Y"),"Receipt letter needed. ","")&amp;IF(AND(D180&lt;&gt;"Cash",E180&gt;5000),"Appraisal likely (&gt;$5,000 non-cash). ","")&amp;IF(AND(D180="Securities",G180="N"),"Short-term: limited to basis. ","")))</f>
        <v/>
      </c>
    </row>
    <row r="181">
      <c r="A181" s="10" t="n"/>
      <c r="B181" s="11" t="n"/>
      <c r="C181" s="11" t="n"/>
      <c r="D181" s="11" t="n"/>
      <c r="E181" s="12" t="n"/>
      <c r="F181" s="12" t="n"/>
      <c r="G181" s="11" t="n"/>
      <c r="H181" s="11" t="n"/>
      <c r="I181" s="13">
        <f>IF(OR(D181="",E181=""),"",IF(D181="Securities",IF(G181="N",MIN(E181,IF(F181="",E181,F181)),E181),E181))</f>
        <v/>
      </c>
      <c r="J181" s="14">
        <f>IF(E181="","",TRIM(IF(AND(E181&gt;=250,H181&lt;&gt;"Y"),"Receipt letter needed. ","")&amp;IF(AND(D181&lt;&gt;"Cash",E181&gt;5000),"Appraisal likely (&gt;$5,000 non-cash). ","")&amp;IF(AND(D181="Securities",G181="N"),"Short-term: limited to basis. ","")))</f>
        <v/>
      </c>
    </row>
    <row r="182">
      <c r="A182" s="10" t="n"/>
      <c r="B182" s="11" t="n"/>
      <c r="C182" s="11" t="n"/>
      <c r="D182" s="11" t="n"/>
      <c r="E182" s="12" t="n"/>
      <c r="F182" s="12" t="n"/>
      <c r="G182" s="11" t="n"/>
      <c r="H182" s="11" t="n"/>
      <c r="I182" s="13">
        <f>IF(OR(D182="",E182=""),"",IF(D182="Securities",IF(G182="N",MIN(E182,IF(F182="",E182,F182)),E182),E182))</f>
        <v/>
      </c>
      <c r="J182" s="14">
        <f>IF(E182="","",TRIM(IF(AND(E182&gt;=250,H182&lt;&gt;"Y"),"Receipt letter needed. ","")&amp;IF(AND(D182&lt;&gt;"Cash",E182&gt;5000),"Appraisal likely (&gt;$5,000 non-cash). ","")&amp;IF(AND(D182="Securities",G182="N"),"Short-term: limited to basis. ","")))</f>
        <v/>
      </c>
    </row>
    <row r="183">
      <c r="A183" s="10" t="n"/>
      <c r="B183" s="11" t="n"/>
      <c r="C183" s="11" t="n"/>
      <c r="D183" s="11" t="n"/>
      <c r="E183" s="12" t="n"/>
      <c r="F183" s="12" t="n"/>
      <c r="G183" s="11" t="n"/>
      <c r="H183" s="11" t="n"/>
      <c r="I183" s="13">
        <f>IF(OR(D183="",E183=""),"",IF(D183="Securities",IF(G183="N",MIN(E183,IF(F183="",E183,F183)),E183),E183))</f>
        <v/>
      </c>
      <c r="J183" s="14">
        <f>IF(E183="","",TRIM(IF(AND(E183&gt;=250,H183&lt;&gt;"Y"),"Receipt letter needed. ","")&amp;IF(AND(D183&lt;&gt;"Cash",E183&gt;5000),"Appraisal likely (&gt;$5,000 non-cash). ","")&amp;IF(AND(D183="Securities",G183="N"),"Short-term: limited to basis. ","")))</f>
        <v/>
      </c>
    </row>
    <row r="184">
      <c r="A184" s="10" t="n"/>
      <c r="B184" s="11" t="n"/>
      <c r="C184" s="11" t="n"/>
      <c r="D184" s="11" t="n"/>
      <c r="E184" s="12" t="n"/>
      <c r="F184" s="12" t="n"/>
      <c r="G184" s="11" t="n"/>
      <c r="H184" s="11" t="n"/>
      <c r="I184" s="13">
        <f>IF(OR(D184="",E184=""),"",IF(D184="Securities",IF(G184="N",MIN(E184,IF(F184="",E184,F184)),E184),E184))</f>
        <v/>
      </c>
      <c r="J184" s="14">
        <f>IF(E184="","",TRIM(IF(AND(E184&gt;=250,H184&lt;&gt;"Y"),"Receipt letter needed. ","")&amp;IF(AND(D184&lt;&gt;"Cash",E184&gt;5000),"Appraisal likely (&gt;$5,000 non-cash). ","")&amp;IF(AND(D184="Securities",G184="N"),"Short-term: limited to basis. ","")))</f>
        <v/>
      </c>
    </row>
    <row r="185">
      <c r="A185" s="10" t="n"/>
      <c r="B185" s="11" t="n"/>
      <c r="C185" s="11" t="n"/>
      <c r="D185" s="11" t="n"/>
      <c r="E185" s="12" t="n"/>
      <c r="F185" s="12" t="n"/>
      <c r="G185" s="11" t="n"/>
      <c r="H185" s="11" t="n"/>
      <c r="I185" s="13">
        <f>IF(OR(D185="",E185=""),"",IF(D185="Securities",IF(G185="N",MIN(E185,IF(F185="",E185,F185)),E185),E185))</f>
        <v/>
      </c>
      <c r="J185" s="14">
        <f>IF(E185="","",TRIM(IF(AND(E185&gt;=250,H185&lt;&gt;"Y"),"Receipt letter needed. ","")&amp;IF(AND(D185&lt;&gt;"Cash",E185&gt;5000),"Appraisal likely (&gt;$5,000 non-cash). ","")&amp;IF(AND(D185="Securities",G185="N"),"Short-term: limited to basis. ","")))</f>
        <v/>
      </c>
    </row>
    <row r="186">
      <c r="A186" s="10" t="n"/>
      <c r="B186" s="11" t="n"/>
      <c r="C186" s="11" t="n"/>
      <c r="D186" s="11" t="n"/>
      <c r="E186" s="12" t="n"/>
      <c r="F186" s="12" t="n"/>
      <c r="G186" s="11" t="n"/>
      <c r="H186" s="11" t="n"/>
      <c r="I186" s="13">
        <f>IF(OR(D186="",E186=""),"",IF(D186="Securities",IF(G186="N",MIN(E186,IF(F186="",E186,F186)),E186),E186))</f>
        <v/>
      </c>
      <c r="J186" s="14">
        <f>IF(E186="","",TRIM(IF(AND(E186&gt;=250,H186&lt;&gt;"Y"),"Receipt letter needed. ","")&amp;IF(AND(D186&lt;&gt;"Cash",E186&gt;5000),"Appraisal likely (&gt;$5,000 non-cash). ","")&amp;IF(AND(D186="Securities",G186="N"),"Short-term: limited to basis. ","")))</f>
        <v/>
      </c>
    </row>
    <row r="187">
      <c r="A187" s="10" t="n"/>
      <c r="B187" s="11" t="n"/>
      <c r="C187" s="11" t="n"/>
      <c r="D187" s="11" t="n"/>
      <c r="E187" s="12" t="n"/>
      <c r="F187" s="12" t="n"/>
      <c r="G187" s="11" t="n"/>
      <c r="H187" s="11" t="n"/>
      <c r="I187" s="13">
        <f>IF(OR(D187="",E187=""),"",IF(D187="Securities",IF(G187="N",MIN(E187,IF(F187="",E187,F187)),E187),E187))</f>
        <v/>
      </c>
      <c r="J187" s="14">
        <f>IF(E187="","",TRIM(IF(AND(E187&gt;=250,H187&lt;&gt;"Y"),"Receipt letter needed. ","")&amp;IF(AND(D187&lt;&gt;"Cash",E187&gt;5000),"Appraisal likely (&gt;$5,000 non-cash). ","")&amp;IF(AND(D187="Securities",G187="N"),"Short-term: limited to basis. ","")))</f>
        <v/>
      </c>
    </row>
    <row r="188">
      <c r="A188" s="10" t="n"/>
      <c r="B188" s="11" t="n"/>
      <c r="C188" s="11" t="n"/>
      <c r="D188" s="11" t="n"/>
      <c r="E188" s="12" t="n"/>
      <c r="F188" s="12" t="n"/>
      <c r="G188" s="11" t="n"/>
      <c r="H188" s="11" t="n"/>
      <c r="I188" s="13">
        <f>IF(OR(D188="",E188=""),"",IF(D188="Securities",IF(G188="N",MIN(E188,IF(F188="",E188,F188)),E188),E188))</f>
        <v/>
      </c>
      <c r="J188" s="14">
        <f>IF(E188="","",TRIM(IF(AND(E188&gt;=250,H188&lt;&gt;"Y"),"Receipt letter needed. ","")&amp;IF(AND(D188&lt;&gt;"Cash",E188&gt;5000),"Appraisal likely (&gt;$5,000 non-cash). ","")&amp;IF(AND(D188="Securities",G188="N"),"Short-term: limited to basis. ","")))</f>
        <v/>
      </c>
    </row>
    <row r="189">
      <c r="A189" s="10" t="n"/>
      <c r="B189" s="11" t="n"/>
      <c r="C189" s="11" t="n"/>
      <c r="D189" s="11" t="n"/>
      <c r="E189" s="12" t="n"/>
      <c r="F189" s="12" t="n"/>
      <c r="G189" s="11" t="n"/>
      <c r="H189" s="11" t="n"/>
      <c r="I189" s="13">
        <f>IF(OR(D189="",E189=""),"",IF(D189="Securities",IF(G189="N",MIN(E189,IF(F189="",E189,F189)),E189),E189))</f>
        <v/>
      </c>
      <c r="J189" s="14">
        <f>IF(E189="","",TRIM(IF(AND(E189&gt;=250,H189&lt;&gt;"Y"),"Receipt letter needed. ","")&amp;IF(AND(D189&lt;&gt;"Cash",E189&gt;5000),"Appraisal likely (&gt;$5,000 non-cash). ","")&amp;IF(AND(D189="Securities",G189="N"),"Short-term: limited to basis. ","")))</f>
        <v/>
      </c>
    </row>
    <row r="190">
      <c r="A190" s="10" t="n"/>
      <c r="B190" s="11" t="n"/>
      <c r="C190" s="11" t="n"/>
      <c r="D190" s="11" t="n"/>
      <c r="E190" s="12" t="n"/>
      <c r="F190" s="12" t="n"/>
      <c r="G190" s="11" t="n"/>
      <c r="H190" s="11" t="n"/>
      <c r="I190" s="13">
        <f>IF(OR(D190="",E190=""),"",IF(D190="Securities",IF(G190="N",MIN(E190,IF(F190="",E190,F190)),E190),E190))</f>
        <v/>
      </c>
      <c r="J190" s="14">
        <f>IF(E190="","",TRIM(IF(AND(E190&gt;=250,H190&lt;&gt;"Y"),"Receipt letter needed. ","")&amp;IF(AND(D190&lt;&gt;"Cash",E190&gt;5000),"Appraisal likely (&gt;$5,000 non-cash). ","")&amp;IF(AND(D190="Securities",G190="N"),"Short-term: limited to basis. ","")))</f>
        <v/>
      </c>
    </row>
    <row r="191">
      <c r="A191" s="10" t="n"/>
      <c r="B191" s="11" t="n"/>
      <c r="C191" s="11" t="n"/>
      <c r="D191" s="11" t="n"/>
      <c r="E191" s="12" t="n"/>
      <c r="F191" s="12" t="n"/>
      <c r="G191" s="11" t="n"/>
      <c r="H191" s="11" t="n"/>
      <c r="I191" s="13">
        <f>IF(OR(D191="",E191=""),"",IF(D191="Securities",IF(G191="N",MIN(E191,IF(F191="",E191,F191)),E191),E191))</f>
        <v/>
      </c>
      <c r="J191" s="14">
        <f>IF(E191="","",TRIM(IF(AND(E191&gt;=250,H191&lt;&gt;"Y"),"Receipt letter needed. ","")&amp;IF(AND(D191&lt;&gt;"Cash",E191&gt;5000),"Appraisal likely (&gt;$5,000 non-cash). ","")&amp;IF(AND(D191="Securities",G191="N"),"Short-term: limited to basis. ","")))</f>
        <v/>
      </c>
    </row>
    <row r="192">
      <c r="A192" s="10" t="n"/>
      <c r="B192" s="11" t="n"/>
      <c r="C192" s="11" t="n"/>
      <c r="D192" s="11" t="n"/>
      <c r="E192" s="12" t="n"/>
      <c r="F192" s="12" t="n"/>
      <c r="G192" s="11" t="n"/>
      <c r="H192" s="11" t="n"/>
      <c r="I192" s="13">
        <f>IF(OR(D192="",E192=""),"",IF(D192="Securities",IF(G192="N",MIN(E192,IF(F192="",E192,F192)),E192),E192))</f>
        <v/>
      </c>
      <c r="J192" s="14">
        <f>IF(E192="","",TRIM(IF(AND(E192&gt;=250,H192&lt;&gt;"Y"),"Receipt letter needed. ","")&amp;IF(AND(D192&lt;&gt;"Cash",E192&gt;5000),"Appraisal likely (&gt;$5,000 non-cash). ","")&amp;IF(AND(D192="Securities",G192="N"),"Short-term: limited to basis. ","")))</f>
        <v/>
      </c>
    </row>
    <row r="193">
      <c r="A193" s="10" t="n"/>
      <c r="B193" s="11" t="n"/>
      <c r="C193" s="11" t="n"/>
      <c r="D193" s="11" t="n"/>
      <c r="E193" s="12" t="n"/>
      <c r="F193" s="12" t="n"/>
      <c r="G193" s="11" t="n"/>
      <c r="H193" s="11" t="n"/>
      <c r="I193" s="13">
        <f>IF(OR(D193="",E193=""),"",IF(D193="Securities",IF(G193="N",MIN(E193,IF(F193="",E193,F193)),E193),E193))</f>
        <v/>
      </c>
      <c r="J193" s="14">
        <f>IF(E193="","",TRIM(IF(AND(E193&gt;=250,H193&lt;&gt;"Y"),"Receipt letter needed. ","")&amp;IF(AND(D193&lt;&gt;"Cash",E193&gt;5000),"Appraisal likely (&gt;$5,000 non-cash). ","")&amp;IF(AND(D193="Securities",G193="N"),"Short-term: limited to basis. ","")))</f>
        <v/>
      </c>
    </row>
    <row r="194">
      <c r="A194" s="10" t="n"/>
      <c r="B194" s="11" t="n"/>
      <c r="C194" s="11" t="n"/>
      <c r="D194" s="11" t="n"/>
      <c r="E194" s="12" t="n"/>
      <c r="F194" s="12" t="n"/>
      <c r="G194" s="11" t="n"/>
      <c r="H194" s="11" t="n"/>
      <c r="I194" s="13">
        <f>IF(OR(D194="",E194=""),"",IF(D194="Securities",IF(G194="N",MIN(E194,IF(F194="",E194,F194)),E194),E194))</f>
        <v/>
      </c>
      <c r="J194" s="14">
        <f>IF(E194="","",TRIM(IF(AND(E194&gt;=250,H194&lt;&gt;"Y"),"Receipt letter needed. ","")&amp;IF(AND(D194&lt;&gt;"Cash",E194&gt;5000),"Appraisal likely (&gt;$5,000 non-cash). ","")&amp;IF(AND(D194="Securities",G194="N"),"Short-term: limited to basis. ","")))</f>
        <v/>
      </c>
    </row>
    <row r="195">
      <c r="A195" s="10" t="n"/>
      <c r="B195" s="11" t="n"/>
      <c r="C195" s="11" t="n"/>
      <c r="D195" s="11" t="n"/>
      <c r="E195" s="12" t="n"/>
      <c r="F195" s="12" t="n"/>
      <c r="G195" s="11" t="n"/>
      <c r="H195" s="11" t="n"/>
      <c r="I195" s="13">
        <f>IF(OR(D195="",E195=""),"",IF(D195="Securities",IF(G195="N",MIN(E195,IF(F195="",E195,F195)),E195),E195))</f>
        <v/>
      </c>
      <c r="J195" s="14">
        <f>IF(E195="","",TRIM(IF(AND(E195&gt;=250,H195&lt;&gt;"Y"),"Receipt letter needed. ","")&amp;IF(AND(D195&lt;&gt;"Cash",E195&gt;5000),"Appraisal likely (&gt;$5,000 non-cash). ","")&amp;IF(AND(D195="Securities",G195="N"),"Short-term: limited to basis. ","")))</f>
        <v/>
      </c>
    </row>
    <row r="196">
      <c r="A196" s="10" t="n"/>
      <c r="B196" s="11" t="n"/>
      <c r="C196" s="11" t="n"/>
      <c r="D196" s="11" t="n"/>
      <c r="E196" s="12" t="n"/>
      <c r="F196" s="12" t="n"/>
      <c r="G196" s="11" t="n"/>
      <c r="H196" s="11" t="n"/>
      <c r="I196" s="13">
        <f>IF(OR(D196="",E196=""),"",IF(D196="Securities",IF(G196="N",MIN(E196,IF(F196="",E196,F196)),E196),E196))</f>
        <v/>
      </c>
      <c r="J196" s="14">
        <f>IF(E196="","",TRIM(IF(AND(E196&gt;=250,H196&lt;&gt;"Y"),"Receipt letter needed. ","")&amp;IF(AND(D196&lt;&gt;"Cash",E196&gt;5000),"Appraisal likely (&gt;$5,000 non-cash). ","")&amp;IF(AND(D196="Securities",G196="N"),"Short-term: limited to basis. ","")))</f>
        <v/>
      </c>
    </row>
    <row r="197">
      <c r="A197" s="10" t="n"/>
      <c r="B197" s="11" t="n"/>
      <c r="C197" s="11" t="n"/>
      <c r="D197" s="11" t="n"/>
      <c r="E197" s="12" t="n"/>
      <c r="F197" s="12" t="n"/>
      <c r="G197" s="11" t="n"/>
      <c r="H197" s="11" t="n"/>
      <c r="I197" s="13">
        <f>IF(OR(D197="",E197=""),"",IF(D197="Securities",IF(G197="N",MIN(E197,IF(F197="",E197,F197)),E197),E197))</f>
        <v/>
      </c>
      <c r="J197" s="14">
        <f>IF(E197="","",TRIM(IF(AND(E197&gt;=250,H197&lt;&gt;"Y"),"Receipt letter needed. ","")&amp;IF(AND(D197&lt;&gt;"Cash",E197&gt;5000),"Appraisal likely (&gt;$5,000 non-cash). ","")&amp;IF(AND(D197="Securities",G197="N"),"Short-term: limited to basis. ","")))</f>
        <v/>
      </c>
    </row>
    <row r="198">
      <c r="A198" s="10" t="n"/>
      <c r="B198" s="11" t="n"/>
      <c r="C198" s="11" t="n"/>
      <c r="D198" s="11" t="n"/>
      <c r="E198" s="12" t="n"/>
      <c r="F198" s="12" t="n"/>
      <c r="G198" s="11" t="n"/>
      <c r="H198" s="11" t="n"/>
      <c r="I198" s="13">
        <f>IF(OR(D198="",E198=""),"",IF(D198="Securities",IF(G198="N",MIN(E198,IF(F198="",E198,F198)),E198),E198))</f>
        <v/>
      </c>
      <c r="J198" s="14">
        <f>IF(E198="","",TRIM(IF(AND(E198&gt;=250,H198&lt;&gt;"Y"),"Receipt letter needed. ","")&amp;IF(AND(D198&lt;&gt;"Cash",E198&gt;5000),"Appraisal likely (&gt;$5,000 non-cash). ","")&amp;IF(AND(D198="Securities",G198="N"),"Short-term: limited to basis. ","")))</f>
        <v/>
      </c>
    </row>
    <row r="199">
      <c r="A199" s="10" t="n"/>
      <c r="B199" s="11" t="n"/>
      <c r="C199" s="11" t="n"/>
      <c r="D199" s="11" t="n"/>
      <c r="E199" s="12" t="n"/>
      <c r="F199" s="12" t="n"/>
      <c r="G199" s="11" t="n"/>
      <c r="H199" s="11" t="n"/>
      <c r="I199" s="13">
        <f>IF(OR(D199="",E199=""),"",IF(D199="Securities",IF(G199="N",MIN(E199,IF(F199="",E199,F199)),E199),E199))</f>
        <v/>
      </c>
      <c r="J199" s="14">
        <f>IF(E199="","",TRIM(IF(AND(E199&gt;=250,H199&lt;&gt;"Y"),"Receipt letter needed. ","")&amp;IF(AND(D199&lt;&gt;"Cash",E199&gt;5000),"Appraisal likely (&gt;$5,000 non-cash). ","")&amp;IF(AND(D199="Securities",G199="N"),"Short-term: limited to basis. ","")))</f>
        <v/>
      </c>
    </row>
    <row r="200">
      <c r="A200" s="10" t="n"/>
      <c r="B200" s="11" t="n"/>
      <c r="C200" s="11" t="n"/>
      <c r="D200" s="11" t="n"/>
      <c r="E200" s="12" t="n"/>
      <c r="F200" s="12" t="n"/>
      <c r="G200" s="11" t="n"/>
      <c r="H200" s="11" t="n"/>
      <c r="I200" s="13">
        <f>IF(OR(D200="",E200=""),"",IF(D200="Securities",IF(G200="N",MIN(E200,IF(F200="",E200,F200)),E200),E200))</f>
        <v/>
      </c>
      <c r="J200" s="14">
        <f>IF(E200="","",TRIM(IF(AND(E200&gt;=250,H200&lt;&gt;"Y"),"Receipt letter needed. ","")&amp;IF(AND(D200&lt;&gt;"Cash",E200&gt;5000),"Appraisal likely (&gt;$5,000 non-cash). ","")&amp;IF(AND(D200="Securities",G200="N"),"Short-term: limited to basis. ","")))</f>
        <v/>
      </c>
    </row>
    <row r="201">
      <c r="A201" s="10" t="n"/>
      <c r="B201" s="11" t="n"/>
      <c r="C201" s="11" t="n"/>
      <c r="D201" s="11" t="n"/>
      <c r="E201" s="12" t="n"/>
      <c r="F201" s="12" t="n"/>
      <c r="G201" s="11" t="n"/>
      <c r="H201" s="11" t="n"/>
      <c r="I201" s="13">
        <f>IF(OR(D201="",E201=""),"",IF(D201="Securities",IF(G201="N",MIN(E201,IF(F201="",E201,F201)),E201),E201))</f>
        <v/>
      </c>
      <c r="J201" s="14">
        <f>IF(E201="","",TRIM(IF(AND(E201&gt;=250,H201&lt;&gt;"Y"),"Receipt letter needed. ","")&amp;IF(AND(D201&lt;&gt;"Cash",E201&gt;5000),"Appraisal likely (&gt;$5,000 non-cash). ","")&amp;IF(AND(D201="Securities",G201="N"),"Short-term: limited to basis. ","")))</f>
        <v/>
      </c>
    </row>
    <row r="202">
      <c r="A202" s="10" t="n"/>
      <c r="B202" s="11" t="n"/>
      <c r="C202" s="11" t="n"/>
      <c r="D202" s="11" t="n"/>
      <c r="E202" s="12" t="n"/>
      <c r="F202" s="12" t="n"/>
      <c r="G202" s="11" t="n"/>
      <c r="H202" s="11" t="n"/>
      <c r="I202" s="13">
        <f>IF(OR(D202="",E202=""),"",IF(D202="Securities",IF(G202="N",MIN(E202,IF(F202="",E202,F202)),E202),E202))</f>
        <v/>
      </c>
      <c r="J202" s="14">
        <f>IF(E202="","",TRIM(IF(AND(E202&gt;=250,H202&lt;&gt;"Y"),"Receipt letter needed. ","")&amp;IF(AND(D202&lt;&gt;"Cash",E202&gt;5000),"Appraisal likely (&gt;$5,000 non-cash). ","")&amp;IF(AND(D202="Securities",G202="N"),"Short-term: limited to basis. ","")))</f>
        <v/>
      </c>
    </row>
    <row r="203">
      <c r="A203" s="10" t="n"/>
      <c r="B203" s="11" t="n"/>
      <c r="C203" s="11" t="n"/>
      <c r="D203" s="11" t="n"/>
      <c r="E203" s="12" t="n"/>
      <c r="F203" s="12" t="n"/>
      <c r="G203" s="11" t="n"/>
      <c r="H203" s="11" t="n"/>
      <c r="I203" s="13">
        <f>IF(OR(D203="",E203=""),"",IF(D203="Securities",IF(G203="N",MIN(E203,IF(F203="",E203,F203)),E203),E203))</f>
        <v/>
      </c>
      <c r="J203" s="14">
        <f>IF(E203="","",TRIM(IF(AND(E203&gt;=250,H203&lt;&gt;"Y"),"Receipt letter needed. ","")&amp;IF(AND(D203&lt;&gt;"Cash",E203&gt;5000),"Appraisal likely (&gt;$5,000 non-cash). ","")&amp;IF(AND(D203="Securities",G203="N"),"Short-term: limited to basis. ","")))</f>
        <v/>
      </c>
    </row>
    <row r="204">
      <c r="A204" s="10" t="n"/>
      <c r="B204" s="11" t="n"/>
      <c r="C204" s="11" t="n"/>
      <c r="D204" s="11" t="n"/>
      <c r="E204" s="12" t="n"/>
      <c r="F204" s="12" t="n"/>
      <c r="G204" s="11" t="n"/>
      <c r="H204" s="11" t="n"/>
      <c r="I204" s="13">
        <f>IF(OR(D204="",E204=""),"",IF(D204="Securities",IF(G204="N",MIN(E204,IF(F204="",E204,F204)),E204),E204))</f>
        <v/>
      </c>
      <c r="J204" s="14">
        <f>IF(E204="","",TRIM(IF(AND(E204&gt;=250,H204&lt;&gt;"Y"),"Receipt letter needed. ","")&amp;IF(AND(D204&lt;&gt;"Cash",E204&gt;5000),"Appraisal likely (&gt;$5,000 non-cash). ","")&amp;IF(AND(D204="Securities",G204="N"),"Short-term: limited to basis. ","")))</f>
        <v/>
      </c>
    </row>
    <row r="205">
      <c r="A205" s="10" t="n"/>
      <c r="B205" s="11" t="n"/>
      <c r="C205" s="11" t="n"/>
      <c r="D205" s="11" t="n"/>
      <c r="E205" s="12" t="n"/>
      <c r="F205" s="12" t="n"/>
      <c r="G205" s="11" t="n"/>
      <c r="H205" s="11" t="n"/>
      <c r="I205" s="13">
        <f>IF(OR(D205="",E205=""),"",IF(D205="Securities",IF(G205="N",MIN(E205,IF(F205="",E205,F205)),E205),E205))</f>
        <v/>
      </c>
      <c r="J205" s="14">
        <f>IF(E205="","",TRIM(IF(AND(E205&gt;=250,H205&lt;&gt;"Y"),"Receipt letter needed. ","")&amp;IF(AND(D205&lt;&gt;"Cash",E205&gt;5000),"Appraisal likely (&gt;$5,000 non-cash). ","")&amp;IF(AND(D205="Securities",G205="N"),"Short-term: limited to basis. ","")))</f>
        <v/>
      </c>
    </row>
    <row r="207">
      <c r="D207" s="15" t="inlineStr">
        <is>
          <t>Totals</t>
        </is>
      </c>
      <c r="E207" s="16">
        <f>SUM(E6:E205)</f>
        <v/>
      </c>
      <c r="I207" s="16">
        <f>SUM(I6:I205)</f>
        <v/>
      </c>
    </row>
  </sheetData>
  <mergeCells count="3">
    <mergeCell ref="A1:J1"/>
    <mergeCell ref="A3:J3"/>
    <mergeCell ref="A2:J2"/>
  </mergeCells>
  <dataValidations count="2">
    <dataValidation sqref="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showDropDown="0" showInputMessage="0" showErrorMessage="0" allowBlank="1" type="list">
      <formula1>"Cash,Non-cash,Securities"</formula1>
    </dataValidation>
    <dataValidation 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0" customWidth="1" min="1" max="1"/>
    <col width="14" customWidth="1" min="2" max="2"/>
    <col width="14" customWidth="1" min="3" max="3"/>
    <col width="10" customWidth="1" min="4" max="4"/>
  </cols>
  <sheetData>
    <row r="1" ht="26" customHeight="1">
      <c r="A1" s="5" t="inlineStr">
        <is>
          <t>Summary — 2026</t>
        </is>
      </c>
    </row>
    <row r="2">
      <c r="A2" s="6" t="inlineStr">
        <is>
          <t>Totals by gift type and the documentation checklist.</t>
        </is>
      </c>
    </row>
    <row r="3">
      <c r="A3" s="7" t="inlineStr">
        <is>
          <t>Grott Luker &amp; Co. · Client Decision Support Toolkit · platform by BlueLine Advisors</t>
        </is>
      </c>
    </row>
    <row r="5" ht="30" customHeight="1">
      <c r="A5" s="9" t="inlineStr">
        <is>
          <t>Gift type</t>
        </is>
      </c>
      <c r="B5" s="9" t="inlineStr">
        <is>
          <t>Gifts</t>
        </is>
      </c>
      <c r="C5" s="9" t="inlineStr">
        <is>
          <t>Deductible</t>
        </is>
      </c>
      <c r="D5" s="9" t="inlineStr">
        <is>
          <t>Count</t>
        </is>
      </c>
    </row>
    <row r="6">
      <c r="A6" s="17" t="inlineStr">
        <is>
          <t>Cash</t>
        </is>
      </c>
      <c r="B6" s="18">
        <f>SUMIFS(Gifts!$E$6:$E$205,Gifts!$D$6:$D$205,"Cash")</f>
        <v/>
      </c>
      <c r="C6" s="18">
        <f>SUMIFS(Gifts!$I$6:$I$205,Gifts!$D$6:$D$205,"Cash")</f>
        <v/>
      </c>
      <c r="D6" s="19">
        <f>COUNTIFS(Gifts!$D$6:$D$205,"Cash",Gifts!$E$6:$E$205,"&gt;0")</f>
        <v/>
      </c>
    </row>
    <row r="7">
      <c r="A7" s="17" t="inlineStr">
        <is>
          <t>Non-cash</t>
        </is>
      </c>
      <c r="B7" s="18">
        <f>SUMIFS(Gifts!$E$6:$E$205,Gifts!$D$6:$D$205,"Non-cash")</f>
        <v/>
      </c>
      <c r="C7" s="18">
        <f>SUMIFS(Gifts!$I$6:$I$205,Gifts!$D$6:$D$205,"Non-cash")</f>
        <v/>
      </c>
      <c r="D7" s="19">
        <f>COUNTIFS(Gifts!$D$6:$D$205,"Non-cash",Gifts!$E$6:$E$205,"&gt;0")</f>
        <v/>
      </c>
    </row>
    <row r="8">
      <c r="A8" s="17" t="inlineStr">
        <is>
          <t>Securities</t>
        </is>
      </c>
      <c r="B8" s="18">
        <f>SUMIFS(Gifts!$E$6:$E$205,Gifts!$D$6:$D$205,"Securities")</f>
        <v/>
      </c>
      <c r="C8" s="18">
        <f>SUMIFS(Gifts!$I$6:$I$205,Gifts!$D$6:$D$205,"Securities")</f>
        <v/>
      </c>
      <c r="D8" s="19">
        <f>COUNTIFS(Gifts!$D$6:$D$205,"Securities",Gifts!$E$6:$E$205,"&gt;0")</f>
        <v/>
      </c>
    </row>
    <row r="9">
      <c r="A9" s="15" t="inlineStr">
        <is>
          <t>All gifts</t>
        </is>
      </c>
      <c r="B9" s="16">
        <f>SUM(B6:B8)</f>
        <v/>
      </c>
      <c r="C9" s="16">
        <f>SUM(C6:C8)</f>
        <v/>
      </c>
      <c r="D9" s="15">
        <f>SUM(D6:D8)</f>
        <v/>
      </c>
    </row>
    <row r="11" ht="30" customHeight="1">
      <c r="A11" s="9" t="inlineStr">
        <is>
          <t>Documentation checklist</t>
        </is>
      </c>
      <c r="B11" s="9" t="inlineStr"/>
      <c r="C11" s="9" t="inlineStr">
        <is>
          <t>Result</t>
        </is>
      </c>
      <c r="D11" s="9" t="inlineStr"/>
    </row>
    <row r="12">
      <c r="A12" s="17" t="inlineStr">
        <is>
          <t>Gifts of $250+ still missing a receipt letter</t>
        </is>
      </c>
      <c r="B12" s="19" t="n"/>
      <c r="C12" s="20">
        <f>COUNTIFS(Gifts!$E$6:$E$205,"&gt;=250",Gifts!$H$6:$H$205,"&lt;&gt;Y",Gifts!$E$6:$E$205,"&gt;0")</f>
        <v/>
      </c>
    </row>
    <row r="13">
      <c r="A13" s="17" t="inlineStr">
        <is>
          <t>Non-cash total (Form 8283 required over $500)</t>
        </is>
      </c>
      <c r="B13" s="19" t="n"/>
      <c r="C13" s="21">
        <f>SUMIFS(Gifts!$E$6:$E$205,Gifts!$D$6:$D$205,"&lt;&gt;Cash")</f>
        <v/>
      </c>
    </row>
    <row r="14">
      <c r="A14" s="17" t="inlineStr">
        <is>
          <t>Form 8283 needed?</t>
        </is>
      </c>
      <c r="B14" s="19" t="n"/>
      <c r="C14" s="20">
        <f>IF(C13&gt;500,"Yes","No")</f>
        <v/>
      </c>
    </row>
    <row r="15">
      <c r="A15" s="17" t="inlineStr">
        <is>
          <t>Non-cash items over $5,000 (appraisal)</t>
        </is>
      </c>
      <c r="B15" s="19" t="n"/>
      <c r="C15" s="20">
        <f>COUNTIFS(Gifts!$D$6:$D$205,"&lt;&gt;Cash",Gifts!$E$6:$E$205,"&gt;5000")</f>
        <v/>
      </c>
    </row>
    <row r="16">
      <c r="A16" s="17" t="inlineStr">
        <is>
          <t>Capital gain avoided on long-term securities</t>
        </is>
      </c>
      <c r="B16" s="19" t="n"/>
      <c r="C16" s="21">
        <f>SUMPRODUCT((Gifts!$D$6:$D$205="Securities")*(Gifts!$G$6:$G$205="Y")*(Gifts!$E$6:$E$205-Gifts!$F$6:$F$205))</f>
        <v/>
      </c>
    </row>
    <row r="18">
      <c r="A18" s="7" t="inlineStr">
        <is>
          <t>Thresholds: IRC §170(f)(8) acknowledgment at $250; Form 8283 above $500 of non-cash gifts; qualified appraisal above $5,000 per item or group.</t>
        </is>
      </c>
    </row>
  </sheetData>
  <mergeCells count="3">
    <mergeCell ref="A1:D1"/>
    <mergeCell ref="A3:D3"/>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2026-10-02T00:37:47Z</dcterms:created>
  <dcterms:modified xsi:type="dcterms:W3CDTF">2026-10-02T00:37:47Z</dcterms:modified>
</cp:coreProperties>
</file>