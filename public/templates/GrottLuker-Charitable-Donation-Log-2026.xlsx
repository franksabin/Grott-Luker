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 name="_xlnm.Print_Area" localSheetId="2">'Summary'!$A$1:$G$186</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6">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Arial"/>
      <i val="1"/>
      <color rgb="00726D63"/>
      <sz val="8"/>
    </font>
    <font>
      <name val="Georgia"/>
      <b val="1"/>
      <color rgb="000F2440"/>
      <sz val="11"/>
    </font>
    <font>
      <name val="Arial"/>
      <color rgb="00454650"/>
      <sz val="10"/>
    </font>
    <font>
      <name val="Georgia"/>
      <b val="1"/>
      <color rgb="000F2440"/>
      <sz val="18"/>
    </font>
    <font>
      <name val="Arial"/>
      <color rgb="00726D63"/>
      <sz val="8"/>
    </font>
    <font>
      <name val="Georgia"/>
      <b val="1"/>
      <color rgb="000F2440"/>
      <sz val="24"/>
    </font>
    <font>
      <name val="Georgia"/>
      <b val="1"/>
      <color rgb="000F2440"/>
      <sz val="16"/>
    </font>
    <font>
      <name val="Arial"/>
      <color rgb="00454650"/>
      <sz val="9"/>
    </font>
  </fonts>
  <fills count="6">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
      <patternFill patternType="solid">
        <fgColor rgb="00EAF1FA"/>
      </patternFill>
    </fill>
  </fills>
  <borders count="8">
    <border>
      <left/>
      <right/>
      <top/>
      <bottom/>
      <diagonal/>
    </border>
    <border>
      <bottom style="medium">
        <color rgb="00C4A054"/>
      </bottom>
    </border>
    <border>
      <bottom style="thin">
        <color rgb="000F2440"/>
      </bottom>
    </border>
    <border>
      <bottom style="thin">
        <color rgb="00E6E0D2"/>
      </bottom>
    </border>
    <border>
      <top style="thin">
        <color rgb="000F2440"/>
      </top>
    </border>
    <border/>
    <border>
      <left style="medium">
        <color rgb="00C4A054"/>
      </left>
    </border>
    <border>
      <left style="medium">
        <color rgb="00C4A054"/>
      </left>
      <right/>
      <bottom/>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5" fillId="0" borderId="0" applyAlignment="1" pivotButton="0" quotePrefix="0" xfId="0">
      <alignment vertical="center" indent="1"/>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0" fontId="7" fillId="0" borderId="2" applyAlignment="1" pivotButton="0" quotePrefix="0" xfId="0">
      <alignment horizontal="center" vertical="bottom"/>
    </xf>
    <xf numFmtId="0" fontId="8" fillId="0" borderId="0" applyAlignment="1" pivotButton="0" quotePrefix="0" xfId="0">
      <alignment horizontal="left" vertical="top" indent="1"/>
    </xf>
    <xf numFmtId="0" fontId="8" fillId="0" borderId="0" applyAlignment="1" pivotButton="0" quotePrefix="0" xfId="0">
      <alignment horizontal="left" vertical="top"/>
    </xf>
    <xf numFmtId="0" fontId="8" fillId="0" borderId="0" applyAlignment="1" pivotButton="0" quotePrefix="0" xfId="0">
      <alignment horizontal="right" vertical="top"/>
    </xf>
    <xf numFmtId="0" fontId="8" fillId="0" borderId="0" applyAlignment="1" pivotButton="0" quotePrefix="0" xfId="0">
      <alignment horizontal="center" vertical="top"/>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0" fontId="4" fillId="5" borderId="3" applyAlignment="1" pivotButton="0" quotePrefix="0" xfId="0">
      <alignment horizontal="left" vertical="center" indent="1"/>
    </xf>
    <xf numFmtId="165" fontId="4" fillId="4" borderId="3" applyAlignment="1" pivotButton="0" quotePrefix="0" xfId="0">
      <alignment horizontal="right" vertical="center"/>
    </xf>
    <xf numFmtId="0" fontId="4" fillId="5" borderId="3" applyAlignment="1" pivotButton="0" quotePrefix="0" xfId="0">
      <alignment horizontal="center" vertical="center"/>
    </xf>
    <xf numFmtId="165" fontId="4" fillId="0" borderId="3" applyAlignment="1" pivotButton="0" quotePrefix="0" xfId="0">
      <alignment horizontal="right" vertical="center"/>
    </xf>
    <xf numFmtId="0" fontId="4" fillId="0" borderId="3" applyAlignment="1" pivotButton="0" quotePrefix="0" xfId="0">
      <alignment horizontal="left" vertical="center" indent="1"/>
    </xf>
    <xf numFmtId="0" fontId="0" fillId="0" borderId="4" pivotButton="0" quotePrefix="0" xfId="0"/>
    <xf numFmtId="0" fontId="9" fillId="0" borderId="4" applyAlignment="1" pivotButton="0" quotePrefix="0" xfId="0">
      <alignment horizontal="right" vertical="center"/>
    </xf>
    <xf numFmtId="165" fontId="9" fillId="0" borderId="4" applyAlignment="1" pivotButton="0" quotePrefix="0" xfId="0">
      <alignment horizontal="right" vertical="center"/>
    </xf>
    <xf numFmtId="0" fontId="10" fillId="0" borderId="0" pivotButton="0" quotePrefix="0" xfId="0"/>
    <xf numFmtId="0" fontId="7" fillId="3" borderId="0" applyAlignment="1" pivotButton="0" quotePrefix="0" xfId="0">
      <alignment horizontal="center" vertical="bottom"/>
    </xf>
    <xf numFmtId="166" fontId="13" fillId="3" borderId="0" applyAlignment="1" pivotButton="0" quotePrefix="0" xfId="0">
      <alignment horizontal="center" vertical="center"/>
    </xf>
    <xf numFmtId="0" fontId="12" fillId="3" borderId="0" applyAlignment="1" pivotButton="0" quotePrefix="0" xfId="0">
      <alignment horizontal="center" vertical="top"/>
    </xf>
    <xf numFmtId="166" fontId="11" fillId="3" borderId="0" applyAlignment="1" pivotButton="0" quotePrefix="0" xfId="0">
      <alignment horizontal="center" vertical="center"/>
    </xf>
    <xf numFmtId="49" fontId="14" fillId="3" borderId="0" applyAlignment="1" pivotButton="0" quotePrefix="0" xfId="0">
      <alignment horizontal="center" vertical="center"/>
    </xf>
    <xf numFmtId="167" fontId="14" fillId="3" borderId="0" applyAlignment="1" pivotButton="0" quotePrefix="0" xfId="0">
      <alignment horizontal="center" vertical="center"/>
    </xf>
    <xf numFmtId="164" fontId="4" fillId="0" borderId="5" applyAlignment="1" pivotButton="0" quotePrefix="0" xfId="0">
      <alignment horizontal="left" vertical="center" indent="1"/>
    </xf>
    <xf numFmtId="0" fontId="4" fillId="0" borderId="5" applyAlignment="1" pivotButton="0" quotePrefix="0" xfId="0">
      <alignment horizontal="left" vertical="center" indent="1"/>
    </xf>
    <xf numFmtId="165" fontId="4" fillId="0" borderId="5" applyAlignment="1" pivotButton="0" quotePrefix="0" xfId="0">
      <alignment horizontal="right" vertical="center"/>
    </xf>
    <xf numFmtId="0" fontId="15" fillId="0" borderId="5" applyAlignment="1" pivotButton="0" quotePrefix="0" xfId="0">
      <alignment horizontal="left" vertical="center" indent="1"/>
    </xf>
    <xf numFmtId="0" fontId="6"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cellXfs>
  <cellStyles count="1">
    <cellStyle name="Normal" xfId="0" builtinId="0" hidden="0"/>
  </cellStyles>
  <dxfs count="5">
    <dxf>
      <font>
        <name val="Arial"/>
        <color rgb="00B9B2A3"/>
        <sz val="10"/>
      </font>
      <fill>
        <patternFill patternType="solid">
          <fgColor rgb="00F3F1EC"/>
        </patternFill>
      </fill>
    </dxf>
    <dxf>
      <font>
        <name val="Arial"/>
        <b val="1"/>
        <color rgb="00A5533C"/>
        <sz val="9"/>
      </font>
      <fill>
        <patternFill patternType="solid">
          <fgColor rgb="00FBF1EC"/>
        </patternFill>
      </fill>
    </dxf>
    <dxf>
      <font>
        <name val="Arial"/>
        <color rgb="002E7D5B"/>
        <sz val="9"/>
      </font>
    </dxf>
    <dxf>
      <border>
        <bottom style="thin">
          <color rgb="00E6E0D2"/>
        </bottom>
      </border>
    </dxf>
    <dxf>
      <font>
        <name val="Arial"/>
        <color rgb="00A5533C"/>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0F2440"/>
    <outlinePr summaryBelow="1" summaryRight="1"/>
    <pageSetUpPr fitToPage="1"/>
  </sheetPr>
  <dimension ref="A1:A29"/>
  <sheetViews>
    <sheetView showGridLines="0" showRowColHeaders="0" zoomScale="11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   ·   Powered by BlueLine Advisors</t>
        </is>
      </c>
    </row>
    <row r="4" ht="10" customHeight="1"/>
    <row r="5" ht="24" customHeight="1">
      <c r="A5" s="4" t="inlineStr">
        <is>
          <t>Two sheets, kept through the year</t>
        </is>
      </c>
    </row>
    <row r="6" ht="30" customHeight="1">
      <c r="A6" s="5" t="inlineStr">
        <is>
          <t>Gifts — one row per gift: date, organization, what it was, the type, and the amount or fair market value. For securities add the cost basis and whether you held them more than a year. Mark the receipt letter once you have it.</t>
        </is>
      </c>
    </row>
    <row r="7" ht="30" customHeight="1">
      <c r="A7" s="5" t="inlineStr">
        <is>
          <t>Summary — the year-end report: estimated deductible contributions, totals by type, and the documentation checklist.</t>
        </is>
      </c>
    </row>
    <row r="8" ht="16" customHeight="1">
      <c r="A8" s="5" t="inlineStr"/>
    </row>
    <row r="9" ht="24" customHeight="1">
      <c r="A9" s="4" t="inlineStr">
        <is>
          <t>How the Gifts sheet works</t>
        </is>
      </c>
    </row>
    <row r="10" ht="30" customHeight="1">
      <c r="A10" s="5" t="inlineStr">
        <is>
          <t>Light-yellow cells are typed. Light-blue cells with ▾ are picked from a list. White cells calculate for you. Cost basis and holding period only matter for securities; for other gifts those two cells go grey.</t>
        </is>
      </c>
    </row>
    <row r="11" ht="30" customHeight="1">
      <c r="A11" s="5" t="inlineStr">
        <is>
          <t>The Documentation column tells you what each gift still needs: a receipt letter, an appraisal, or a note that a short-term security is limited to its cost basis. When a $250+ gift has its letter, it says so.</t>
        </is>
      </c>
    </row>
    <row r="12" ht="16" customHeight="1">
      <c r="A12" s="5" t="inlineStr"/>
    </row>
    <row r="13" ht="24" customHeight="1">
      <c r="A13" s="4" t="inlineStr">
        <is>
          <t>Documentation rules</t>
        </is>
      </c>
    </row>
    <row r="14" ht="16" customHeight="1">
      <c r="A14" s="5" t="inlineStr">
        <is>
          <t>Any single gift of $250 or more needs a written acknowledgment from the charity before you file.</t>
        </is>
      </c>
    </row>
    <row r="15" ht="30" customHeight="1">
      <c r="A15" s="5" t="inlineStr">
        <is>
          <t>Non-cash gifts over $500 in total require Form 8283 with the return. Any non-cash item, or group of similar items, over $5,000 needs a qualified appraisal; publicly traded securities are the exception.</t>
        </is>
      </c>
    </row>
    <row r="16" ht="30" customHeight="1">
      <c r="A16" s="5" t="inlineStr">
        <is>
          <t>Appreciated securities held more than a year are deductible at fair market value and the gain is never taxed. Held a year or less, the deduction is limited to cost basis.</t>
        </is>
      </c>
    </row>
    <row r="17" ht="30" customHeight="1">
      <c r="A17" s="5" t="inlineStr">
        <is>
          <t>Qualified charitable distributions from an IRA (70½ and older) are excluded from income instead of deducted. Log them with a note so your CPA sees them.</t>
        </is>
      </c>
    </row>
    <row r="18" ht="16" customHeight="1">
      <c r="A18" s="5" t="inlineStr"/>
    </row>
    <row r="19" ht="24" customHeight="1">
      <c r="A19" s="4" t="inlineStr">
        <is>
          <t>When you are done</t>
        </is>
      </c>
    </row>
    <row r="20" ht="30" customHeight="1">
      <c r="A20" s="5" t="inlineStr">
        <is>
          <t>In January, email this file to your Grott Luker CPA with your receipt letters, or enter the gifts in the online log at the link we sent you.</t>
        </is>
      </c>
    </row>
    <row r="22" ht="30" customHeight="1">
      <c r="A22" s="6" t="inlineStr">
        <is>
          <t>Prepared for planning with Grott Luker &amp; Co. This workbook organizes your records; it does not determine what is deductible. Entries are your own; review with your Grott Luker CPA before anything is used in a return or a decision.</t>
        </is>
      </c>
    </row>
    <row r="24" ht="15" customHeight="1">
      <c r="A24" s="7" t="inlineStr">
        <is>
          <t>Grott Luker &amp; Co.</t>
        </is>
      </c>
    </row>
    <row r="25" ht="15" customHeight="1">
      <c r="A25" s="8" t="inlineStr">
        <is>
          <t>Certified Public Accountants · Portsmouth, New Hampshire · Accounting | Tax Planning | Advisory</t>
        </is>
      </c>
    </row>
    <row r="26" ht="15" customHeight="1">
      <c r="A26" s="8" t="inlineStr">
        <is>
          <t>Questions about this workbook go to your Grott Luker CPA.</t>
        </is>
      </c>
    </row>
    <row r="27" ht="15" customHeight="1">
      <c r="A27" s="8" t="inlineStr"/>
    </row>
    <row r="28" ht="15" customHeight="1">
      <c r="A28" s="9" t="inlineStr">
        <is>
          <t>Powered by BlueLine Advisors</t>
        </is>
      </c>
    </row>
    <row r="29" ht="30" customHeight="1">
      <c r="A29"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2"/>
    <mergeCell ref="A26"/>
    <mergeCell ref="A29"/>
    <mergeCell ref="A25"/>
    <mergeCell ref="A24"/>
    <mergeCell ref="A28"/>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J161"/>
  <sheetViews>
    <sheetView showGridLines="0" showRowColHeaders="0" zoomScale="110" workbookViewId="0">
      <pane ySplit="8" topLeftCell="A9" activePane="bottomLeft" state="frozen"/>
      <selection pane="bottomLeft" activeCell="A1" sqref="A1"/>
    </sheetView>
  </sheetViews>
  <sheetFormatPr baseColWidth="8" defaultRowHeight="15"/>
  <cols>
    <col width="12" customWidth="1" min="1" max="1"/>
    <col width="26" customWidth="1" min="2" max="2"/>
    <col width="28" customWidth="1" min="3" max="3"/>
    <col width="15" customWidth="1" min="4" max="4"/>
    <col width="14" customWidth="1" min="5" max="5"/>
    <col width="14" customWidth="1" min="6" max="6"/>
    <col width="11" customWidth="1" min="7" max="7"/>
    <col width="13" customWidth="1" min="8" max="8"/>
    <col width="14" customWidth="1" min="9" max="9"/>
    <col width="44"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Gifts</t>
        </is>
      </c>
    </row>
    <row r="3" ht="14" customHeight="1">
      <c r="A3" s="1" t="n"/>
      <c r="B3" s="1" t="n"/>
      <c r="C3" s="1" t="n"/>
      <c r="D3" s="1" t="n"/>
      <c r="E3" s="1" t="n"/>
      <c r="F3" s="1" t="n"/>
      <c r="G3" s="1" t="n"/>
      <c r="H3" s="1" t="n"/>
      <c r="I3" s="1" t="n"/>
      <c r="J3" s="3" t="inlineStr">
        <is>
          <t>Tax year 2026   ·   Powered by BlueLine Advisors</t>
        </is>
      </c>
    </row>
    <row r="4" ht="10" customHeight="1"/>
    <row r="5" ht="24" customHeight="1">
      <c r="A5" s="10" t="inlineStr">
        <is>
          <t>Gifts this year</t>
        </is>
      </c>
      <c r="B5" s="11" t="n"/>
      <c r="C5" s="11" t="n"/>
      <c r="D5" s="11" t="n"/>
      <c r="E5" s="11" t="n"/>
      <c r="F5" s="11" t="n"/>
      <c r="G5" s="11" t="n"/>
      <c r="H5" s="11" t="n"/>
      <c r="I5" s="11" t="n"/>
      <c r="J5" s="12" t="inlineStr">
        <is>
          <t>deductible amount and documentation fill in as you go</t>
        </is>
      </c>
    </row>
    <row r="6" ht="16" customHeight="1">
      <c r="A6" s="13" t="inlineStr">
        <is>
          <t>Light yellow — type it in     Light blue ▾ — pick from the list     White — calculated for you</t>
        </is>
      </c>
    </row>
    <row r="7" ht="18" customHeight="1">
      <c r="A7" s="14" t="inlineStr">
        <is>
          <t>DATE</t>
        </is>
      </c>
      <c r="B7" s="15" t="inlineStr">
        <is>
          <t>ORGANIZATION</t>
        </is>
      </c>
      <c r="C7" s="15" t="inlineStr">
        <is>
          <t>DESCRIPTION</t>
        </is>
      </c>
      <c r="D7" s="15" t="inlineStr">
        <is>
          <t>TYPE  ▾</t>
        </is>
      </c>
      <c r="E7" s="16" t="inlineStr">
        <is>
          <t>AMOUNT / FMV</t>
        </is>
      </c>
      <c r="F7" s="16" t="inlineStr">
        <is>
          <t>COST BASIS</t>
        </is>
      </c>
      <c r="G7" s="17" t="inlineStr">
        <is>
          <t>HELD &gt; 1 YR  ▾</t>
        </is>
      </c>
      <c r="H7" s="17" t="inlineStr">
        <is>
          <t>RECEIPT LETTER  ▾</t>
        </is>
      </c>
      <c r="I7" s="16" t="inlineStr">
        <is>
          <t>DEDUCTIBLE</t>
        </is>
      </c>
      <c r="J7" s="15" t="inlineStr">
        <is>
          <t>DOCUMENTATION</t>
        </is>
      </c>
    </row>
    <row r="8" ht="14" customHeight="1">
      <c r="A8" s="18" t="inlineStr"/>
      <c r="B8" s="19" t="inlineStr"/>
      <c r="C8" s="19" t="inlineStr"/>
      <c r="D8" s="19" t="inlineStr">
        <is>
          <t>cash · non-cash · securities</t>
        </is>
      </c>
      <c r="E8" s="20" t="inlineStr"/>
      <c r="F8" s="20" t="inlineStr">
        <is>
          <t>securities only</t>
        </is>
      </c>
      <c r="G8" s="21" t="inlineStr">
        <is>
          <t>securities only</t>
        </is>
      </c>
      <c r="H8" s="21" t="inlineStr">
        <is>
          <t>Y once you have it</t>
        </is>
      </c>
      <c r="I8" s="20" t="inlineStr"/>
      <c r="J8" s="19" t="inlineStr">
        <is>
          <t>what this gift still needs</t>
        </is>
      </c>
    </row>
    <row r="9" ht="18" customHeight="1">
      <c r="A9" s="22" t="n"/>
      <c r="B9" s="23" t="n"/>
      <c r="C9" s="23" t="n"/>
      <c r="D9" s="24" t="n"/>
      <c r="E9" s="25" t="n"/>
      <c r="F9" s="25" t="n"/>
      <c r="G9" s="26" t="n"/>
      <c r="H9" s="26" t="n"/>
      <c r="I9" s="27">
        <f>IF(OR(D9="",E9=""),"",IF(D9="Securities",IF(G9="N",MIN(E9,IF(F9="",E9,F9)),E9),E9))</f>
        <v/>
      </c>
      <c r="J9" s="28">
        <f>IF(E9="","",IF(TRIM(IF(AND(E9&gt;=250,H9&lt;&gt;"Y"),"Get written acknowledgment (≥ $250). ","")&amp;IF(AND(D9="Non-cash",E9&gt;5000),"Qualified appraisal required (&gt; $5,000 non-cash). ","")&amp;IF(AND(D9="Securities",G9="N"),"Held ≤ 1 year — deduction limited to cost basis. ",""))="",IF(AND(E9&gt;=250,H9="Y"),"Acknowledgment on file","—"),TRIM(IF(AND(E9&gt;=250,H9&lt;&gt;"Y"),"Get written acknowledgment (≥ $250). ","")&amp;IF(AND(D9="Non-cash",E9&gt;5000),"Qualified appraisal required (&gt; $5,000 non-cash). ","")&amp;IF(AND(D9="Securities",G9="N"),"Held ≤ 1 year — deduction limited to cost basis. ",""))))</f>
        <v/>
      </c>
    </row>
    <row r="10" ht="18" customHeight="1">
      <c r="A10" s="22" t="n"/>
      <c r="B10" s="23" t="n"/>
      <c r="C10" s="23" t="n"/>
      <c r="D10" s="24" t="n"/>
      <c r="E10" s="25" t="n"/>
      <c r="F10" s="25" t="n"/>
      <c r="G10" s="26" t="n"/>
      <c r="H10" s="26" t="n"/>
      <c r="I10" s="27">
        <f>IF(OR(D10="",E10=""),"",IF(D10="Securities",IF(G10="N",MIN(E10,IF(F10="",E10,F10)),E10),E10))</f>
        <v/>
      </c>
      <c r="J10" s="28">
        <f>IF(E10="","",IF(TRIM(IF(AND(E10&gt;=250,H10&lt;&gt;"Y"),"Get written acknowledgment (≥ $250). ","")&amp;IF(AND(D10="Non-cash",E10&gt;5000),"Qualified appraisal required (&gt; $5,000 non-cash). ","")&amp;IF(AND(D10="Securities",G10="N"),"Held ≤ 1 year — deduction limited to cost basis. ",""))="",IF(AND(E10&gt;=250,H10="Y"),"Acknowledgment on file","—"),TRIM(IF(AND(E10&gt;=250,H10&lt;&gt;"Y"),"Get written acknowledgment (≥ $250). ","")&amp;IF(AND(D10="Non-cash",E10&gt;5000),"Qualified appraisal required (&gt; $5,000 non-cash). ","")&amp;IF(AND(D10="Securities",G10="N"),"Held ≤ 1 year — deduction limited to cost basis. ",""))))</f>
        <v/>
      </c>
    </row>
    <row r="11" ht="18" customHeight="1">
      <c r="A11" s="22" t="n"/>
      <c r="B11" s="23" t="n"/>
      <c r="C11" s="23" t="n"/>
      <c r="D11" s="24" t="n"/>
      <c r="E11" s="25" t="n"/>
      <c r="F11" s="25" t="n"/>
      <c r="G11" s="26" t="n"/>
      <c r="H11" s="26" t="n"/>
      <c r="I11" s="27">
        <f>IF(OR(D11="",E11=""),"",IF(D11="Securities",IF(G11="N",MIN(E11,IF(F11="",E11,F11)),E11),E11))</f>
        <v/>
      </c>
      <c r="J11" s="28">
        <f>IF(E11="","",IF(TRIM(IF(AND(E11&gt;=250,H11&lt;&gt;"Y"),"Get written acknowledgment (≥ $250). ","")&amp;IF(AND(D11="Non-cash",E11&gt;5000),"Qualified appraisal required (&gt; $5,000 non-cash). ","")&amp;IF(AND(D11="Securities",G11="N"),"Held ≤ 1 year — deduction limited to cost basis. ",""))="",IF(AND(E11&gt;=250,H11="Y"),"Acknowledgment on file","—"),TRIM(IF(AND(E11&gt;=250,H11&lt;&gt;"Y"),"Get written acknowledgment (≥ $250). ","")&amp;IF(AND(D11="Non-cash",E11&gt;5000),"Qualified appraisal required (&gt; $5,000 non-cash). ","")&amp;IF(AND(D11="Securities",G11="N"),"Held ≤ 1 year — deduction limited to cost basis. ",""))))</f>
        <v/>
      </c>
    </row>
    <row r="12" ht="18" customHeight="1">
      <c r="A12" s="22" t="n"/>
      <c r="B12" s="23" t="n"/>
      <c r="C12" s="23" t="n"/>
      <c r="D12" s="24" t="n"/>
      <c r="E12" s="25" t="n"/>
      <c r="F12" s="25" t="n"/>
      <c r="G12" s="26" t="n"/>
      <c r="H12" s="26" t="n"/>
      <c r="I12" s="27">
        <f>IF(OR(D12="",E12=""),"",IF(D12="Securities",IF(G12="N",MIN(E12,IF(F12="",E12,F12)),E12),E12))</f>
        <v/>
      </c>
      <c r="J12" s="28">
        <f>IF(E12="","",IF(TRIM(IF(AND(E12&gt;=250,H12&lt;&gt;"Y"),"Get written acknowledgment (≥ $250). ","")&amp;IF(AND(D12="Non-cash",E12&gt;5000),"Qualified appraisal required (&gt; $5,000 non-cash). ","")&amp;IF(AND(D12="Securities",G12="N"),"Held ≤ 1 year — deduction limited to cost basis. ",""))="",IF(AND(E12&gt;=250,H12="Y"),"Acknowledgment on file","—"),TRIM(IF(AND(E12&gt;=250,H12&lt;&gt;"Y"),"Get written acknowledgment (≥ $250). ","")&amp;IF(AND(D12="Non-cash",E12&gt;5000),"Qualified appraisal required (&gt; $5,000 non-cash). ","")&amp;IF(AND(D12="Securities",G12="N"),"Held ≤ 1 year — deduction limited to cost basis. ",""))))</f>
        <v/>
      </c>
    </row>
    <row r="13" ht="18" customHeight="1">
      <c r="A13" s="22" t="n"/>
      <c r="B13" s="23" t="n"/>
      <c r="C13" s="23" t="n"/>
      <c r="D13" s="24" t="n"/>
      <c r="E13" s="25" t="n"/>
      <c r="F13" s="25" t="n"/>
      <c r="G13" s="26" t="n"/>
      <c r="H13" s="26" t="n"/>
      <c r="I13" s="27">
        <f>IF(OR(D13="",E13=""),"",IF(D13="Securities",IF(G13="N",MIN(E13,IF(F13="",E13,F13)),E13),E13))</f>
        <v/>
      </c>
      <c r="J13" s="28">
        <f>IF(E13="","",IF(TRIM(IF(AND(E13&gt;=250,H13&lt;&gt;"Y"),"Get written acknowledgment (≥ $250). ","")&amp;IF(AND(D13="Non-cash",E13&gt;5000),"Qualified appraisal required (&gt; $5,000 non-cash). ","")&amp;IF(AND(D13="Securities",G13="N"),"Held ≤ 1 year — deduction limited to cost basis. ",""))="",IF(AND(E13&gt;=250,H13="Y"),"Acknowledgment on file","—"),TRIM(IF(AND(E13&gt;=250,H13&lt;&gt;"Y"),"Get written acknowledgment (≥ $250). ","")&amp;IF(AND(D13="Non-cash",E13&gt;5000),"Qualified appraisal required (&gt; $5,000 non-cash). ","")&amp;IF(AND(D13="Securities",G13="N"),"Held ≤ 1 year — deduction limited to cost basis. ",""))))</f>
        <v/>
      </c>
    </row>
    <row r="14" ht="18" customHeight="1">
      <c r="A14" s="22" t="n"/>
      <c r="B14" s="23" t="n"/>
      <c r="C14" s="23" t="n"/>
      <c r="D14" s="24" t="n"/>
      <c r="E14" s="25" t="n"/>
      <c r="F14" s="25" t="n"/>
      <c r="G14" s="26" t="n"/>
      <c r="H14" s="26" t="n"/>
      <c r="I14" s="27">
        <f>IF(OR(D14="",E14=""),"",IF(D14="Securities",IF(G14="N",MIN(E14,IF(F14="",E14,F14)),E14),E14))</f>
        <v/>
      </c>
      <c r="J14" s="28">
        <f>IF(E14="","",IF(TRIM(IF(AND(E14&gt;=250,H14&lt;&gt;"Y"),"Get written acknowledgment (≥ $250). ","")&amp;IF(AND(D14="Non-cash",E14&gt;5000),"Qualified appraisal required (&gt; $5,000 non-cash). ","")&amp;IF(AND(D14="Securities",G14="N"),"Held ≤ 1 year — deduction limited to cost basis. ",""))="",IF(AND(E14&gt;=250,H14="Y"),"Acknowledgment on file","—"),TRIM(IF(AND(E14&gt;=250,H14&lt;&gt;"Y"),"Get written acknowledgment (≥ $250). ","")&amp;IF(AND(D14="Non-cash",E14&gt;5000),"Qualified appraisal required (&gt; $5,000 non-cash). ","")&amp;IF(AND(D14="Securities",G14="N"),"Held ≤ 1 year — deduction limited to cost basis. ",""))))</f>
        <v/>
      </c>
    </row>
    <row r="15" ht="18" customHeight="1">
      <c r="A15" s="22" t="n"/>
      <c r="B15" s="23" t="n"/>
      <c r="C15" s="23" t="n"/>
      <c r="D15" s="24" t="n"/>
      <c r="E15" s="25" t="n"/>
      <c r="F15" s="25" t="n"/>
      <c r="G15" s="26" t="n"/>
      <c r="H15" s="26" t="n"/>
      <c r="I15" s="27">
        <f>IF(OR(D15="",E15=""),"",IF(D15="Securities",IF(G15="N",MIN(E15,IF(F15="",E15,F15)),E15),E15))</f>
        <v/>
      </c>
      <c r="J15" s="28">
        <f>IF(E15="","",IF(TRIM(IF(AND(E15&gt;=250,H15&lt;&gt;"Y"),"Get written acknowledgment (≥ $250). ","")&amp;IF(AND(D15="Non-cash",E15&gt;5000),"Qualified appraisal required (&gt; $5,000 non-cash). ","")&amp;IF(AND(D15="Securities",G15="N"),"Held ≤ 1 year — deduction limited to cost basis. ",""))="",IF(AND(E15&gt;=250,H15="Y"),"Acknowledgment on file","—"),TRIM(IF(AND(E15&gt;=250,H15&lt;&gt;"Y"),"Get written acknowledgment (≥ $250). ","")&amp;IF(AND(D15="Non-cash",E15&gt;5000),"Qualified appraisal required (&gt; $5,000 non-cash). ","")&amp;IF(AND(D15="Securities",G15="N"),"Held ≤ 1 year — deduction limited to cost basis. ",""))))</f>
        <v/>
      </c>
    </row>
    <row r="16" ht="18" customHeight="1">
      <c r="A16" s="22" t="n"/>
      <c r="B16" s="23" t="n"/>
      <c r="C16" s="23" t="n"/>
      <c r="D16" s="24" t="n"/>
      <c r="E16" s="25" t="n"/>
      <c r="F16" s="25" t="n"/>
      <c r="G16" s="26" t="n"/>
      <c r="H16" s="26" t="n"/>
      <c r="I16" s="27">
        <f>IF(OR(D16="",E16=""),"",IF(D16="Securities",IF(G16="N",MIN(E16,IF(F16="",E16,F16)),E16),E16))</f>
        <v/>
      </c>
      <c r="J16" s="28">
        <f>IF(E16="","",IF(TRIM(IF(AND(E16&gt;=250,H16&lt;&gt;"Y"),"Get written acknowledgment (≥ $250). ","")&amp;IF(AND(D16="Non-cash",E16&gt;5000),"Qualified appraisal required (&gt; $5,000 non-cash). ","")&amp;IF(AND(D16="Securities",G16="N"),"Held ≤ 1 year — deduction limited to cost basis. ",""))="",IF(AND(E16&gt;=250,H16="Y"),"Acknowledgment on file","—"),TRIM(IF(AND(E16&gt;=250,H16&lt;&gt;"Y"),"Get written acknowledgment (≥ $250). ","")&amp;IF(AND(D16="Non-cash",E16&gt;5000),"Qualified appraisal required (&gt; $5,000 non-cash). ","")&amp;IF(AND(D16="Securities",G16="N"),"Held ≤ 1 year — deduction limited to cost basis. ",""))))</f>
        <v/>
      </c>
    </row>
    <row r="17" ht="18" customHeight="1">
      <c r="A17" s="22" t="n"/>
      <c r="B17" s="23" t="n"/>
      <c r="C17" s="23" t="n"/>
      <c r="D17" s="24" t="n"/>
      <c r="E17" s="25" t="n"/>
      <c r="F17" s="25" t="n"/>
      <c r="G17" s="26" t="n"/>
      <c r="H17" s="26" t="n"/>
      <c r="I17" s="27">
        <f>IF(OR(D17="",E17=""),"",IF(D17="Securities",IF(G17="N",MIN(E17,IF(F17="",E17,F17)),E17),E17))</f>
        <v/>
      </c>
      <c r="J17" s="28">
        <f>IF(E17="","",IF(TRIM(IF(AND(E17&gt;=250,H17&lt;&gt;"Y"),"Get written acknowledgment (≥ $250). ","")&amp;IF(AND(D17="Non-cash",E17&gt;5000),"Qualified appraisal required (&gt; $5,000 non-cash). ","")&amp;IF(AND(D17="Securities",G17="N"),"Held ≤ 1 year — deduction limited to cost basis. ",""))="",IF(AND(E17&gt;=250,H17="Y"),"Acknowledgment on file","—"),TRIM(IF(AND(E17&gt;=250,H17&lt;&gt;"Y"),"Get written acknowledgment (≥ $250). ","")&amp;IF(AND(D17="Non-cash",E17&gt;5000),"Qualified appraisal required (&gt; $5,000 non-cash). ","")&amp;IF(AND(D17="Securities",G17="N"),"Held ≤ 1 year — deduction limited to cost basis. ",""))))</f>
        <v/>
      </c>
    </row>
    <row r="18" ht="18" customHeight="1">
      <c r="A18" s="22" t="n"/>
      <c r="B18" s="23" t="n"/>
      <c r="C18" s="23" t="n"/>
      <c r="D18" s="24" t="n"/>
      <c r="E18" s="25" t="n"/>
      <c r="F18" s="25" t="n"/>
      <c r="G18" s="26" t="n"/>
      <c r="H18" s="26" t="n"/>
      <c r="I18" s="27">
        <f>IF(OR(D18="",E18=""),"",IF(D18="Securities",IF(G18="N",MIN(E18,IF(F18="",E18,F18)),E18),E18))</f>
        <v/>
      </c>
      <c r="J18" s="28">
        <f>IF(E18="","",IF(TRIM(IF(AND(E18&gt;=250,H18&lt;&gt;"Y"),"Get written acknowledgment (≥ $250). ","")&amp;IF(AND(D18="Non-cash",E18&gt;5000),"Qualified appraisal required (&gt; $5,000 non-cash). ","")&amp;IF(AND(D18="Securities",G18="N"),"Held ≤ 1 year — deduction limited to cost basis. ",""))="",IF(AND(E18&gt;=250,H18="Y"),"Acknowledgment on file","—"),TRIM(IF(AND(E18&gt;=250,H18&lt;&gt;"Y"),"Get written acknowledgment (≥ $250). ","")&amp;IF(AND(D18="Non-cash",E18&gt;5000),"Qualified appraisal required (&gt; $5,000 non-cash). ","")&amp;IF(AND(D18="Securities",G18="N"),"Held ≤ 1 year — deduction limited to cost basis. ",""))))</f>
        <v/>
      </c>
    </row>
    <row r="19" ht="18" customHeight="1">
      <c r="A19" s="22" t="n"/>
      <c r="B19" s="23" t="n"/>
      <c r="C19" s="23" t="n"/>
      <c r="D19" s="24" t="n"/>
      <c r="E19" s="25" t="n"/>
      <c r="F19" s="25" t="n"/>
      <c r="G19" s="26" t="n"/>
      <c r="H19" s="26" t="n"/>
      <c r="I19" s="27">
        <f>IF(OR(D19="",E19=""),"",IF(D19="Securities",IF(G19="N",MIN(E19,IF(F19="",E19,F19)),E19),E19))</f>
        <v/>
      </c>
      <c r="J19" s="28">
        <f>IF(E19="","",IF(TRIM(IF(AND(E19&gt;=250,H19&lt;&gt;"Y"),"Get written acknowledgment (≥ $250). ","")&amp;IF(AND(D19="Non-cash",E19&gt;5000),"Qualified appraisal required (&gt; $5,000 non-cash). ","")&amp;IF(AND(D19="Securities",G19="N"),"Held ≤ 1 year — deduction limited to cost basis. ",""))="",IF(AND(E19&gt;=250,H19="Y"),"Acknowledgment on file","—"),TRIM(IF(AND(E19&gt;=250,H19&lt;&gt;"Y"),"Get written acknowledgment (≥ $250). ","")&amp;IF(AND(D19="Non-cash",E19&gt;5000),"Qualified appraisal required (&gt; $5,000 non-cash). ","")&amp;IF(AND(D19="Securities",G19="N"),"Held ≤ 1 year — deduction limited to cost basis. ",""))))</f>
        <v/>
      </c>
    </row>
    <row r="20" ht="18" customHeight="1">
      <c r="A20" s="22" t="n"/>
      <c r="B20" s="23" t="n"/>
      <c r="C20" s="23" t="n"/>
      <c r="D20" s="24" t="n"/>
      <c r="E20" s="25" t="n"/>
      <c r="F20" s="25" t="n"/>
      <c r="G20" s="26" t="n"/>
      <c r="H20" s="26" t="n"/>
      <c r="I20" s="27">
        <f>IF(OR(D20="",E20=""),"",IF(D20="Securities",IF(G20="N",MIN(E20,IF(F20="",E20,F20)),E20),E20))</f>
        <v/>
      </c>
      <c r="J20" s="28">
        <f>IF(E20="","",IF(TRIM(IF(AND(E20&gt;=250,H20&lt;&gt;"Y"),"Get written acknowledgment (≥ $250). ","")&amp;IF(AND(D20="Non-cash",E20&gt;5000),"Qualified appraisal required (&gt; $5,000 non-cash). ","")&amp;IF(AND(D20="Securities",G20="N"),"Held ≤ 1 year — deduction limited to cost basis. ",""))="",IF(AND(E20&gt;=250,H20="Y"),"Acknowledgment on file","—"),TRIM(IF(AND(E20&gt;=250,H20&lt;&gt;"Y"),"Get written acknowledgment (≥ $250). ","")&amp;IF(AND(D20="Non-cash",E20&gt;5000),"Qualified appraisal required (&gt; $5,000 non-cash). ","")&amp;IF(AND(D20="Securities",G20="N"),"Held ≤ 1 year — deduction limited to cost basis. ",""))))</f>
        <v/>
      </c>
    </row>
    <row r="21" ht="18" customHeight="1">
      <c r="A21" s="22" t="n"/>
      <c r="B21" s="23" t="n"/>
      <c r="C21" s="23" t="n"/>
      <c r="D21" s="24" t="n"/>
      <c r="E21" s="25" t="n"/>
      <c r="F21" s="25" t="n"/>
      <c r="G21" s="26" t="n"/>
      <c r="H21" s="26" t="n"/>
      <c r="I21" s="27">
        <f>IF(OR(D21="",E21=""),"",IF(D21="Securities",IF(G21="N",MIN(E21,IF(F21="",E21,F21)),E21),E21))</f>
        <v/>
      </c>
      <c r="J21" s="28">
        <f>IF(E21="","",IF(TRIM(IF(AND(E21&gt;=250,H21&lt;&gt;"Y"),"Get written acknowledgment (≥ $250). ","")&amp;IF(AND(D21="Non-cash",E21&gt;5000),"Qualified appraisal required (&gt; $5,000 non-cash). ","")&amp;IF(AND(D21="Securities",G21="N"),"Held ≤ 1 year — deduction limited to cost basis. ",""))="",IF(AND(E21&gt;=250,H21="Y"),"Acknowledgment on file","—"),TRIM(IF(AND(E21&gt;=250,H21&lt;&gt;"Y"),"Get written acknowledgment (≥ $250). ","")&amp;IF(AND(D21="Non-cash",E21&gt;5000),"Qualified appraisal required (&gt; $5,000 non-cash). ","")&amp;IF(AND(D21="Securities",G21="N"),"Held ≤ 1 year — deduction limited to cost basis. ",""))))</f>
        <v/>
      </c>
    </row>
    <row r="22" ht="18" customHeight="1">
      <c r="A22" s="22" t="n"/>
      <c r="B22" s="23" t="n"/>
      <c r="C22" s="23" t="n"/>
      <c r="D22" s="24" t="n"/>
      <c r="E22" s="25" t="n"/>
      <c r="F22" s="25" t="n"/>
      <c r="G22" s="26" t="n"/>
      <c r="H22" s="26" t="n"/>
      <c r="I22" s="27">
        <f>IF(OR(D22="",E22=""),"",IF(D22="Securities",IF(G22="N",MIN(E22,IF(F22="",E22,F22)),E22),E22))</f>
        <v/>
      </c>
      <c r="J22" s="28">
        <f>IF(E22="","",IF(TRIM(IF(AND(E22&gt;=250,H22&lt;&gt;"Y"),"Get written acknowledgment (≥ $250). ","")&amp;IF(AND(D22="Non-cash",E22&gt;5000),"Qualified appraisal required (&gt; $5,000 non-cash). ","")&amp;IF(AND(D22="Securities",G22="N"),"Held ≤ 1 year — deduction limited to cost basis. ",""))="",IF(AND(E22&gt;=250,H22="Y"),"Acknowledgment on file","—"),TRIM(IF(AND(E22&gt;=250,H22&lt;&gt;"Y"),"Get written acknowledgment (≥ $250). ","")&amp;IF(AND(D22="Non-cash",E22&gt;5000),"Qualified appraisal required (&gt; $5,000 non-cash). ","")&amp;IF(AND(D22="Securities",G22="N"),"Held ≤ 1 year — deduction limited to cost basis. ",""))))</f>
        <v/>
      </c>
    </row>
    <row r="23" ht="18" customHeight="1">
      <c r="A23" s="22" t="n"/>
      <c r="B23" s="23" t="n"/>
      <c r="C23" s="23" t="n"/>
      <c r="D23" s="24" t="n"/>
      <c r="E23" s="25" t="n"/>
      <c r="F23" s="25" t="n"/>
      <c r="G23" s="26" t="n"/>
      <c r="H23" s="26" t="n"/>
      <c r="I23" s="27">
        <f>IF(OR(D23="",E23=""),"",IF(D23="Securities",IF(G23="N",MIN(E23,IF(F23="",E23,F23)),E23),E23))</f>
        <v/>
      </c>
      <c r="J23" s="28">
        <f>IF(E23="","",IF(TRIM(IF(AND(E23&gt;=250,H23&lt;&gt;"Y"),"Get written acknowledgment (≥ $250). ","")&amp;IF(AND(D23="Non-cash",E23&gt;5000),"Qualified appraisal required (&gt; $5,000 non-cash). ","")&amp;IF(AND(D23="Securities",G23="N"),"Held ≤ 1 year — deduction limited to cost basis. ",""))="",IF(AND(E23&gt;=250,H23="Y"),"Acknowledgment on file","—"),TRIM(IF(AND(E23&gt;=250,H23&lt;&gt;"Y"),"Get written acknowledgment (≥ $250). ","")&amp;IF(AND(D23="Non-cash",E23&gt;5000),"Qualified appraisal required (&gt; $5,000 non-cash). ","")&amp;IF(AND(D23="Securities",G23="N"),"Held ≤ 1 year — deduction limited to cost basis. ",""))))</f>
        <v/>
      </c>
    </row>
    <row r="24" ht="18" customHeight="1">
      <c r="A24" s="22" t="n"/>
      <c r="B24" s="23" t="n"/>
      <c r="C24" s="23" t="n"/>
      <c r="D24" s="24" t="n"/>
      <c r="E24" s="25" t="n"/>
      <c r="F24" s="25" t="n"/>
      <c r="G24" s="26" t="n"/>
      <c r="H24" s="26" t="n"/>
      <c r="I24" s="27">
        <f>IF(OR(D24="",E24=""),"",IF(D24="Securities",IF(G24="N",MIN(E24,IF(F24="",E24,F24)),E24),E24))</f>
        <v/>
      </c>
      <c r="J24" s="28">
        <f>IF(E24="","",IF(TRIM(IF(AND(E24&gt;=250,H24&lt;&gt;"Y"),"Get written acknowledgment (≥ $250). ","")&amp;IF(AND(D24="Non-cash",E24&gt;5000),"Qualified appraisal required (&gt; $5,000 non-cash). ","")&amp;IF(AND(D24="Securities",G24="N"),"Held ≤ 1 year — deduction limited to cost basis. ",""))="",IF(AND(E24&gt;=250,H24="Y"),"Acknowledgment on file","—"),TRIM(IF(AND(E24&gt;=250,H24&lt;&gt;"Y"),"Get written acknowledgment (≥ $250). ","")&amp;IF(AND(D24="Non-cash",E24&gt;5000),"Qualified appraisal required (&gt; $5,000 non-cash). ","")&amp;IF(AND(D24="Securities",G24="N"),"Held ≤ 1 year — deduction limited to cost basis. ",""))))</f>
        <v/>
      </c>
    </row>
    <row r="25" ht="18" customHeight="1">
      <c r="A25" s="22" t="n"/>
      <c r="B25" s="23" t="n"/>
      <c r="C25" s="23" t="n"/>
      <c r="D25" s="24" t="n"/>
      <c r="E25" s="25" t="n"/>
      <c r="F25" s="25" t="n"/>
      <c r="G25" s="26" t="n"/>
      <c r="H25" s="26" t="n"/>
      <c r="I25" s="27">
        <f>IF(OR(D25="",E25=""),"",IF(D25="Securities",IF(G25="N",MIN(E25,IF(F25="",E25,F25)),E25),E25))</f>
        <v/>
      </c>
      <c r="J25" s="28">
        <f>IF(E25="","",IF(TRIM(IF(AND(E25&gt;=250,H25&lt;&gt;"Y"),"Get written acknowledgment (≥ $250). ","")&amp;IF(AND(D25="Non-cash",E25&gt;5000),"Qualified appraisal required (&gt; $5,000 non-cash). ","")&amp;IF(AND(D25="Securities",G25="N"),"Held ≤ 1 year — deduction limited to cost basis. ",""))="",IF(AND(E25&gt;=250,H25="Y"),"Acknowledgment on file","—"),TRIM(IF(AND(E25&gt;=250,H25&lt;&gt;"Y"),"Get written acknowledgment (≥ $250). ","")&amp;IF(AND(D25="Non-cash",E25&gt;5000),"Qualified appraisal required (&gt; $5,000 non-cash). ","")&amp;IF(AND(D25="Securities",G25="N"),"Held ≤ 1 year — deduction limited to cost basis. ",""))))</f>
        <v/>
      </c>
    </row>
    <row r="26" ht="18" customHeight="1">
      <c r="A26" s="22" t="n"/>
      <c r="B26" s="23" t="n"/>
      <c r="C26" s="23" t="n"/>
      <c r="D26" s="24" t="n"/>
      <c r="E26" s="25" t="n"/>
      <c r="F26" s="25" t="n"/>
      <c r="G26" s="26" t="n"/>
      <c r="H26" s="26" t="n"/>
      <c r="I26" s="27">
        <f>IF(OR(D26="",E26=""),"",IF(D26="Securities",IF(G26="N",MIN(E26,IF(F26="",E26,F26)),E26),E26))</f>
        <v/>
      </c>
      <c r="J26" s="28">
        <f>IF(E26="","",IF(TRIM(IF(AND(E26&gt;=250,H26&lt;&gt;"Y"),"Get written acknowledgment (≥ $250). ","")&amp;IF(AND(D26="Non-cash",E26&gt;5000),"Qualified appraisal required (&gt; $5,000 non-cash). ","")&amp;IF(AND(D26="Securities",G26="N"),"Held ≤ 1 year — deduction limited to cost basis. ",""))="",IF(AND(E26&gt;=250,H26="Y"),"Acknowledgment on file","—"),TRIM(IF(AND(E26&gt;=250,H26&lt;&gt;"Y"),"Get written acknowledgment (≥ $250). ","")&amp;IF(AND(D26="Non-cash",E26&gt;5000),"Qualified appraisal required (&gt; $5,000 non-cash). ","")&amp;IF(AND(D26="Securities",G26="N"),"Held ≤ 1 year — deduction limited to cost basis. ",""))))</f>
        <v/>
      </c>
    </row>
    <row r="27" ht="18" customHeight="1">
      <c r="A27" s="22" t="n"/>
      <c r="B27" s="23" t="n"/>
      <c r="C27" s="23" t="n"/>
      <c r="D27" s="24" t="n"/>
      <c r="E27" s="25" t="n"/>
      <c r="F27" s="25" t="n"/>
      <c r="G27" s="26" t="n"/>
      <c r="H27" s="26" t="n"/>
      <c r="I27" s="27">
        <f>IF(OR(D27="",E27=""),"",IF(D27="Securities",IF(G27="N",MIN(E27,IF(F27="",E27,F27)),E27),E27))</f>
        <v/>
      </c>
      <c r="J27" s="28">
        <f>IF(E27="","",IF(TRIM(IF(AND(E27&gt;=250,H27&lt;&gt;"Y"),"Get written acknowledgment (≥ $250). ","")&amp;IF(AND(D27="Non-cash",E27&gt;5000),"Qualified appraisal required (&gt; $5,000 non-cash). ","")&amp;IF(AND(D27="Securities",G27="N"),"Held ≤ 1 year — deduction limited to cost basis. ",""))="",IF(AND(E27&gt;=250,H27="Y"),"Acknowledgment on file","—"),TRIM(IF(AND(E27&gt;=250,H27&lt;&gt;"Y"),"Get written acknowledgment (≥ $250). ","")&amp;IF(AND(D27="Non-cash",E27&gt;5000),"Qualified appraisal required (&gt; $5,000 non-cash). ","")&amp;IF(AND(D27="Securities",G27="N"),"Held ≤ 1 year — deduction limited to cost basis. ",""))))</f>
        <v/>
      </c>
    </row>
    <row r="28" ht="18" customHeight="1">
      <c r="A28" s="22" t="n"/>
      <c r="B28" s="23" t="n"/>
      <c r="C28" s="23" t="n"/>
      <c r="D28" s="24" t="n"/>
      <c r="E28" s="25" t="n"/>
      <c r="F28" s="25" t="n"/>
      <c r="G28" s="26" t="n"/>
      <c r="H28" s="26" t="n"/>
      <c r="I28" s="27">
        <f>IF(OR(D28="",E28=""),"",IF(D28="Securities",IF(G28="N",MIN(E28,IF(F28="",E28,F28)),E28),E28))</f>
        <v/>
      </c>
      <c r="J28" s="28">
        <f>IF(E28="","",IF(TRIM(IF(AND(E28&gt;=250,H28&lt;&gt;"Y"),"Get written acknowledgment (≥ $250). ","")&amp;IF(AND(D28="Non-cash",E28&gt;5000),"Qualified appraisal required (&gt; $5,000 non-cash). ","")&amp;IF(AND(D28="Securities",G28="N"),"Held ≤ 1 year — deduction limited to cost basis. ",""))="",IF(AND(E28&gt;=250,H28="Y"),"Acknowledgment on file","—"),TRIM(IF(AND(E28&gt;=250,H28&lt;&gt;"Y"),"Get written acknowledgment (≥ $250). ","")&amp;IF(AND(D28="Non-cash",E28&gt;5000),"Qualified appraisal required (&gt; $5,000 non-cash). ","")&amp;IF(AND(D28="Securities",G28="N"),"Held ≤ 1 year — deduction limited to cost basis. ",""))))</f>
        <v/>
      </c>
    </row>
    <row r="29" ht="18" customHeight="1">
      <c r="A29" s="22" t="n"/>
      <c r="B29" s="23" t="n"/>
      <c r="C29" s="23" t="n"/>
      <c r="D29" s="24" t="n"/>
      <c r="E29" s="25" t="n"/>
      <c r="F29" s="25" t="n"/>
      <c r="G29" s="26" t="n"/>
      <c r="H29" s="26" t="n"/>
      <c r="I29" s="27">
        <f>IF(OR(D29="",E29=""),"",IF(D29="Securities",IF(G29="N",MIN(E29,IF(F29="",E29,F29)),E29),E29))</f>
        <v/>
      </c>
      <c r="J29" s="28">
        <f>IF(E29="","",IF(TRIM(IF(AND(E29&gt;=250,H29&lt;&gt;"Y"),"Get written acknowledgment (≥ $250). ","")&amp;IF(AND(D29="Non-cash",E29&gt;5000),"Qualified appraisal required (&gt; $5,000 non-cash). ","")&amp;IF(AND(D29="Securities",G29="N"),"Held ≤ 1 year — deduction limited to cost basis. ",""))="",IF(AND(E29&gt;=250,H29="Y"),"Acknowledgment on file","—"),TRIM(IF(AND(E29&gt;=250,H29&lt;&gt;"Y"),"Get written acknowledgment (≥ $250). ","")&amp;IF(AND(D29="Non-cash",E29&gt;5000),"Qualified appraisal required (&gt; $5,000 non-cash). ","")&amp;IF(AND(D29="Securities",G29="N"),"Held ≤ 1 year — deduction limited to cost basis. ",""))))</f>
        <v/>
      </c>
    </row>
    <row r="30" ht="18" customHeight="1">
      <c r="A30" s="22" t="n"/>
      <c r="B30" s="23" t="n"/>
      <c r="C30" s="23" t="n"/>
      <c r="D30" s="24" t="n"/>
      <c r="E30" s="25" t="n"/>
      <c r="F30" s="25" t="n"/>
      <c r="G30" s="26" t="n"/>
      <c r="H30" s="26" t="n"/>
      <c r="I30" s="27">
        <f>IF(OR(D30="",E30=""),"",IF(D30="Securities",IF(G30="N",MIN(E30,IF(F30="",E30,F30)),E30),E30))</f>
        <v/>
      </c>
      <c r="J30" s="28">
        <f>IF(E30="","",IF(TRIM(IF(AND(E30&gt;=250,H30&lt;&gt;"Y"),"Get written acknowledgment (≥ $250). ","")&amp;IF(AND(D30="Non-cash",E30&gt;5000),"Qualified appraisal required (&gt; $5,000 non-cash). ","")&amp;IF(AND(D30="Securities",G30="N"),"Held ≤ 1 year — deduction limited to cost basis. ",""))="",IF(AND(E30&gt;=250,H30="Y"),"Acknowledgment on file","—"),TRIM(IF(AND(E30&gt;=250,H30&lt;&gt;"Y"),"Get written acknowledgment (≥ $250). ","")&amp;IF(AND(D30="Non-cash",E30&gt;5000),"Qualified appraisal required (&gt; $5,000 non-cash). ","")&amp;IF(AND(D30="Securities",G30="N"),"Held ≤ 1 year — deduction limited to cost basis. ",""))))</f>
        <v/>
      </c>
    </row>
    <row r="31" ht="18" customHeight="1">
      <c r="A31" s="22" t="n"/>
      <c r="B31" s="23" t="n"/>
      <c r="C31" s="23" t="n"/>
      <c r="D31" s="24" t="n"/>
      <c r="E31" s="25" t="n"/>
      <c r="F31" s="25" t="n"/>
      <c r="G31" s="26" t="n"/>
      <c r="H31" s="26" t="n"/>
      <c r="I31" s="27">
        <f>IF(OR(D31="",E31=""),"",IF(D31="Securities",IF(G31="N",MIN(E31,IF(F31="",E31,F31)),E31),E31))</f>
        <v/>
      </c>
      <c r="J31" s="28">
        <f>IF(E31="","",IF(TRIM(IF(AND(E31&gt;=250,H31&lt;&gt;"Y"),"Get written acknowledgment (≥ $250). ","")&amp;IF(AND(D31="Non-cash",E31&gt;5000),"Qualified appraisal required (&gt; $5,000 non-cash). ","")&amp;IF(AND(D31="Securities",G31="N"),"Held ≤ 1 year — deduction limited to cost basis. ",""))="",IF(AND(E31&gt;=250,H31="Y"),"Acknowledgment on file","—"),TRIM(IF(AND(E31&gt;=250,H31&lt;&gt;"Y"),"Get written acknowledgment (≥ $250). ","")&amp;IF(AND(D31="Non-cash",E31&gt;5000),"Qualified appraisal required (&gt; $5,000 non-cash). ","")&amp;IF(AND(D31="Securities",G31="N"),"Held ≤ 1 year — deduction limited to cost basis. ",""))))</f>
        <v/>
      </c>
    </row>
    <row r="32" ht="18" customHeight="1">
      <c r="A32" s="22" t="n"/>
      <c r="B32" s="23" t="n"/>
      <c r="C32" s="23" t="n"/>
      <c r="D32" s="24" t="n"/>
      <c r="E32" s="25" t="n"/>
      <c r="F32" s="25" t="n"/>
      <c r="G32" s="26" t="n"/>
      <c r="H32" s="26" t="n"/>
      <c r="I32" s="27">
        <f>IF(OR(D32="",E32=""),"",IF(D32="Securities",IF(G32="N",MIN(E32,IF(F32="",E32,F32)),E32),E32))</f>
        <v/>
      </c>
      <c r="J32" s="28">
        <f>IF(E32="","",IF(TRIM(IF(AND(E32&gt;=250,H32&lt;&gt;"Y"),"Get written acknowledgment (≥ $250). ","")&amp;IF(AND(D32="Non-cash",E32&gt;5000),"Qualified appraisal required (&gt; $5,000 non-cash). ","")&amp;IF(AND(D32="Securities",G32="N"),"Held ≤ 1 year — deduction limited to cost basis. ",""))="",IF(AND(E32&gt;=250,H32="Y"),"Acknowledgment on file","—"),TRIM(IF(AND(E32&gt;=250,H32&lt;&gt;"Y"),"Get written acknowledgment (≥ $250). ","")&amp;IF(AND(D32="Non-cash",E32&gt;5000),"Qualified appraisal required (&gt; $5,000 non-cash). ","")&amp;IF(AND(D32="Securities",G32="N"),"Held ≤ 1 year — deduction limited to cost basis. ",""))))</f>
        <v/>
      </c>
    </row>
    <row r="33" ht="18" customHeight="1">
      <c r="A33" s="22" t="n"/>
      <c r="B33" s="23" t="n"/>
      <c r="C33" s="23" t="n"/>
      <c r="D33" s="24" t="n"/>
      <c r="E33" s="25" t="n"/>
      <c r="F33" s="25" t="n"/>
      <c r="G33" s="26" t="n"/>
      <c r="H33" s="26" t="n"/>
      <c r="I33" s="27">
        <f>IF(OR(D33="",E33=""),"",IF(D33="Securities",IF(G33="N",MIN(E33,IF(F33="",E33,F33)),E33),E33))</f>
        <v/>
      </c>
      <c r="J33" s="28">
        <f>IF(E33="","",IF(TRIM(IF(AND(E33&gt;=250,H33&lt;&gt;"Y"),"Get written acknowledgment (≥ $250). ","")&amp;IF(AND(D33="Non-cash",E33&gt;5000),"Qualified appraisal required (&gt; $5,000 non-cash). ","")&amp;IF(AND(D33="Securities",G33="N"),"Held ≤ 1 year — deduction limited to cost basis. ",""))="",IF(AND(E33&gt;=250,H33="Y"),"Acknowledgment on file","—"),TRIM(IF(AND(E33&gt;=250,H33&lt;&gt;"Y"),"Get written acknowledgment (≥ $250). ","")&amp;IF(AND(D33="Non-cash",E33&gt;5000),"Qualified appraisal required (&gt; $5,000 non-cash). ","")&amp;IF(AND(D33="Securities",G33="N"),"Held ≤ 1 year — deduction limited to cost basis. ",""))))</f>
        <v/>
      </c>
    </row>
    <row r="34" ht="18" customHeight="1">
      <c r="A34" s="22" t="n"/>
      <c r="B34" s="23" t="n"/>
      <c r="C34" s="23" t="n"/>
      <c r="D34" s="24" t="n"/>
      <c r="E34" s="25" t="n"/>
      <c r="F34" s="25" t="n"/>
      <c r="G34" s="26" t="n"/>
      <c r="H34" s="26" t="n"/>
      <c r="I34" s="27">
        <f>IF(OR(D34="",E34=""),"",IF(D34="Securities",IF(G34="N",MIN(E34,IF(F34="",E34,F34)),E34),E34))</f>
        <v/>
      </c>
      <c r="J34" s="28">
        <f>IF(E34="","",IF(TRIM(IF(AND(E34&gt;=250,H34&lt;&gt;"Y"),"Get written acknowledgment (≥ $250). ","")&amp;IF(AND(D34="Non-cash",E34&gt;5000),"Qualified appraisal required (&gt; $5,000 non-cash). ","")&amp;IF(AND(D34="Securities",G34="N"),"Held ≤ 1 year — deduction limited to cost basis. ",""))="",IF(AND(E34&gt;=250,H34="Y"),"Acknowledgment on file","—"),TRIM(IF(AND(E34&gt;=250,H34&lt;&gt;"Y"),"Get written acknowledgment (≥ $250). ","")&amp;IF(AND(D34="Non-cash",E34&gt;5000),"Qualified appraisal required (&gt; $5,000 non-cash). ","")&amp;IF(AND(D34="Securities",G34="N"),"Held ≤ 1 year — deduction limited to cost basis. ",""))))</f>
        <v/>
      </c>
    </row>
    <row r="35" ht="18" customHeight="1">
      <c r="A35" s="22" t="n"/>
      <c r="B35" s="23" t="n"/>
      <c r="C35" s="23" t="n"/>
      <c r="D35" s="24" t="n"/>
      <c r="E35" s="25" t="n"/>
      <c r="F35" s="25" t="n"/>
      <c r="G35" s="26" t="n"/>
      <c r="H35" s="26" t="n"/>
      <c r="I35" s="27">
        <f>IF(OR(D35="",E35=""),"",IF(D35="Securities",IF(G35="N",MIN(E35,IF(F35="",E35,F35)),E35),E35))</f>
        <v/>
      </c>
      <c r="J35" s="28">
        <f>IF(E35="","",IF(TRIM(IF(AND(E35&gt;=250,H35&lt;&gt;"Y"),"Get written acknowledgment (≥ $250). ","")&amp;IF(AND(D35="Non-cash",E35&gt;5000),"Qualified appraisal required (&gt; $5,000 non-cash). ","")&amp;IF(AND(D35="Securities",G35="N"),"Held ≤ 1 year — deduction limited to cost basis. ",""))="",IF(AND(E35&gt;=250,H35="Y"),"Acknowledgment on file","—"),TRIM(IF(AND(E35&gt;=250,H35&lt;&gt;"Y"),"Get written acknowledgment (≥ $250). ","")&amp;IF(AND(D35="Non-cash",E35&gt;5000),"Qualified appraisal required (&gt; $5,000 non-cash). ","")&amp;IF(AND(D35="Securities",G35="N"),"Held ≤ 1 year — deduction limited to cost basis. ",""))))</f>
        <v/>
      </c>
    </row>
    <row r="36" ht="18" customHeight="1">
      <c r="A36" s="22" t="n"/>
      <c r="B36" s="23" t="n"/>
      <c r="C36" s="23" t="n"/>
      <c r="D36" s="24" t="n"/>
      <c r="E36" s="25" t="n"/>
      <c r="F36" s="25" t="n"/>
      <c r="G36" s="26" t="n"/>
      <c r="H36" s="26" t="n"/>
      <c r="I36" s="27">
        <f>IF(OR(D36="",E36=""),"",IF(D36="Securities",IF(G36="N",MIN(E36,IF(F36="",E36,F36)),E36),E36))</f>
        <v/>
      </c>
      <c r="J36" s="28">
        <f>IF(E36="","",IF(TRIM(IF(AND(E36&gt;=250,H36&lt;&gt;"Y"),"Get written acknowledgment (≥ $250). ","")&amp;IF(AND(D36="Non-cash",E36&gt;5000),"Qualified appraisal required (&gt; $5,000 non-cash). ","")&amp;IF(AND(D36="Securities",G36="N"),"Held ≤ 1 year — deduction limited to cost basis. ",""))="",IF(AND(E36&gt;=250,H36="Y"),"Acknowledgment on file","—"),TRIM(IF(AND(E36&gt;=250,H36&lt;&gt;"Y"),"Get written acknowledgment (≥ $250). ","")&amp;IF(AND(D36="Non-cash",E36&gt;5000),"Qualified appraisal required (&gt; $5,000 non-cash). ","")&amp;IF(AND(D36="Securities",G36="N"),"Held ≤ 1 year — deduction limited to cost basis. ",""))))</f>
        <v/>
      </c>
    </row>
    <row r="37" ht="18" customHeight="1">
      <c r="A37" s="22" t="n"/>
      <c r="B37" s="23" t="n"/>
      <c r="C37" s="23" t="n"/>
      <c r="D37" s="24" t="n"/>
      <c r="E37" s="25" t="n"/>
      <c r="F37" s="25" t="n"/>
      <c r="G37" s="26" t="n"/>
      <c r="H37" s="26" t="n"/>
      <c r="I37" s="27">
        <f>IF(OR(D37="",E37=""),"",IF(D37="Securities",IF(G37="N",MIN(E37,IF(F37="",E37,F37)),E37),E37))</f>
        <v/>
      </c>
      <c r="J37" s="28">
        <f>IF(E37="","",IF(TRIM(IF(AND(E37&gt;=250,H37&lt;&gt;"Y"),"Get written acknowledgment (≥ $250). ","")&amp;IF(AND(D37="Non-cash",E37&gt;5000),"Qualified appraisal required (&gt; $5,000 non-cash). ","")&amp;IF(AND(D37="Securities",G37="N"),"Held ≤ 1 year — deduction limited to cost basis. ",""))="",IF(AND(E37&gt;=250,H37="Y"),"Acknowledgment on file","—"),TRIM(IF(AND(E37&gt;=250,H37&lt;&gt;"Y"),"Get written acknowledgment (≥ $250). ","")&amp;IF(AND(D37="Non-cash",E37&gt;5000),"Qualified appraisal required (&gt; $5,000 non-cash). ","")&amp;IF(AND(D37="Securities",G37="N"),"Held ≤ 1 year — deduction limited to cost basis. ",""))))</f>
        <v/>
      </c>
    </row>
    <row r="38" ht="18" customHeight="1">
      <c r="A38" s="22" t="n"/>
      <c r="B38" s="23" t="n"/>
      <c r="C38" s="23" t="n"/>
      <c r="D38" s="24" t="n"/>
      <c r="E38" s="25" t="n"/>
      <c r="F38" s="25" t="n"/>
      <c r="G38" s="26" t="n"/>
      <c r="H38" s="26" t="n"/>
      <c r="I38" s="27">
        <f>IF(OR(D38="",E38=""),"",IF(D38="Securities",IF(G38="N",MIN(E38,IF(F38="",E38,F38)),E38),E38))</f>
        <v/>
      </c>
      <c r="J38" s="28">
        <f>IF(E38="","",IF(TRIM(IF(AND(E38&gt;=250,H38&lt;&gt;"Y"),"Get written acknowledgment (≥ $250). ","")&amp;IF(AND(D38="Non-cash",E38&gt;5000),"Qualified appraisal required (&gt; $5,000 non-cash). ","")&amp;IF(AND(D38="Securities",G38="N"),"Held ≤ 1 year — deduction limited to cost basis. ",""))="",IF(AND(E38&gt;=250,H38="Y"),"Acknowledgment on file","—"),TRIM(IF(AND(E38&gt;=250,H38&lt;&gt;"Y"),"Get written acknowledgment (≥ $250). ","")&amp;IF(AND(D38="Non-cash",E38&gt;5000),"Qualified appraisal required (&gt; $5,000 non-cash). ","")&amp;IF(AND(D38="Securities",G38="N"),"Held ≤ 1 year — deduction limited to cost basis. ",""))))</f>
        <v/>
      </c>
    </row>
    <row r="39" ht="18" customHeight="1">
      <c r="A39" s="22" t="n"/>
      <c r="B39" s="23" t="n"/>
      <c r="C39" s="23" t="n"/>
      <c r="D39" s="24" t="n"/>
      <c r="E39" s="25" t="n"/>
      <c r="F39" s="25" t="n"/>
      <c r="G39" s="26" t="n"/>
      <c r="H39" s="26" t="n"/>
      <c r="I39" s="27">
        <f>IF(OR(D39="",E39=""),"",IF(D39="Securities",IF(G39="N",MIN(E39,IF(F39="",E39,F39)),E39),E39))</f>
        <v/>
      </c>
      <c r="J39" s="28">
        <f>IF(E39="","",IF(TRIM(IF(AND(E39&gt;=250,H39&lt;&gt;"Y"),"Get written acknowledgment (≥ $250). ","")&amp;IF(AND(D39="Non-cash",E39&gt;5000),"Qualified appraisal required (&gt; $5,000 non-cash). ","")&amp;IF(AND(D39="Securities",G39="N"),"Held ≤ 1 year — deduction limited to cost basis. ",""))="",IF(AND(E39&gt;=250,H39="Y"),"Acknowledgment on file","—"),TRIM(IF(AND(E39&gt;=250,H39&lt;&gt;"Y"),"Get written acknowledgment (≥ $250). ","")&amp;IF(AND(D39="Non-cash",E39&gt;5000),"Qualified appraisal required (&gt; $5,000 non-cash). ","")&amp;IF(AND(D39="Securities",G39="N"),"Held ≤ 1 year — deduction limited to cost basis. ",""))))</f>
        <v/>
      </c>
    </row>
    <row r="40" ht="18" customHeight="1">
      <c r="A40" s="22" t="n"/>
      <c r="B40" s="23" t="n"/>
      <c r="C40" s="23" t="n"/>
      <c r="D40" s="24" t="n"/>
      <c r="E40" s="25" t="n"/>
      <c r="F40" s="25" t="n"/>
      <c r="G40" s="26" t="n"/>
      <c r="H40" s="26" t="n"/>
      <c r="I40" s="27">
        <f>IF(OR(D40="",E40=""),"",IF(D40="Securities",IF(G40="N",MIN(E40,IF(F40="",E40,F40)),E40),E40))</f>
        <v/>
      </c>
      <c r="J40" s="28">
        <f>IF(E40="","",IF(TRIM(IF(AND(E40&gt;=250,H40&lt;&gt;"Y"),"Get written acknowledgment (≥ $250). ","")&amp;IF(AND(D40="Non-cash",E40&gt;5000),"Qualified appraisal required (&gt; $5,000 non-cash). ","")&amp;IF(AND(D40="Securities",G40="N"),"Held ≤ 1 year — deduction limited to cost basis. ",""))="",IF(AND(E40&gt;=250,H40="Y"),"Acknowledgment on file","—"),TRIM(IF(AND(E40&gt;=250,H40&lt;&gt;"Y"),"Get written acknowledgment (≥ $250). ","")&amp;IF(AND(D40="Non-cash",E40&gt;5000),"Qualified appraisal required (&gt; $5,000 non-cash). ","")&amp;IF(AND(D40="Securities",G40="N"),"Held ≤ 1 year — deduction limited to cost basis. ",""))))</f>
        <v/>
      </c>
    </row>
    <row r="41" ht="18" customHeight="1">
      <c r="A41" s="22" t="n"/>
      <c r="B41" s="23" t="n"/>
      <c r="C41" s="23" t="n"/>
      <c r="D41" s="24" t="n"/>
      <c r="E41" s="25" t="n"/>
      <c r="F41" s="25" t="n"/>
      <c r="G41" s="26" t="n"/>
      <c r="H41" s="26" t="n"/>
      <c r="I41" s="27">
        <f>IF(OR(D41="",E41=""),"",IF(D41="Securities",IF(G41="N",MIN(E41,IF(F41="",E41,F41)),E41),E41))</f>
        <v/>
      </c>
      <c r="J41" s="28">
        <f>IF(E41="","",IF(TRIM(IF(AND(E41&gt;=250,H41&lt;&gt;"Y"),"Get written acknowledgment (≥ $250). ","")&amp;IF(AND(D41="Non-cash",E41&gt;5000),"Qualified appraisal required (&gt; $5,000 non-cash). ","")&amp;IF(AND(D41="Securities",G41="N"),"Held ≤ 1 year — deduction limited to cost basis. ",""))="",IF(AND(E41&gt;=250,H41="Y"),"Acknowledgment on file","—"),TRIM(IF(AND(E41&gt;=250,H41&lt;&gt;"Y"),"Get written acknowledgment (≥ $250). ","")&amp;IF(AND(D41="Non-cash",E41&gt;5000),"Qualified appraisal required (&gt; $5,000 non-cash). ","")&amp;IF(AND(D41="Securities",G41="N"),"Held ≤ 1 year — deduction limited to cost basis. ",""))))</f>
        <v/>
      </c>
    </row>
    <row r="42" ht="18" customHeight="1">
      <c r="A42" s="22" t="n"/>
      <c r="B42" s="23" t="n"/>
      <c r="C42" s="23" t="n"/>
      <c r="D42" s="24" t="n"/>
      <c r="E42" s="25" t="n"/>
      <c r="F42" s="25" t="n"/>
      <c r="G42" s="26" t="n"/>
      <c r="H42" s="26" t="n"/>
      <c r="I42" s="27">
        <f>IF(OR(D42="",E42=""),"",IF(D42="Securities",IF(G42="N",MIN(E42,IF(F42="",E42,F42)),E42),E42))</f>
        <v/>
      </c>
      <c r="J42" s="28">
        <f>IF(E42="","",IF(TRIM(IF(AND(E42&gt;=250,H42&lt;&gt;"Y"),"Get written acknowledgment (≥ $250). ","")&amp;IF(AND(D42="Non-cash",E42&gt;5000),"Qualified appraisal required (&gt; $5,000 non-cash). ","")&amp;IF(AND(D42="Securities",G42="N"),"Held ≤ 1 year — deduction limited to cost basis. ",""))="",IF(AND(E42&gt;=250,H42="Y"),"Acknowledgment on file","—"),TRIM(IF(AND(E42&gt;=250,H42&lt;&gt;"Y"),"Get written acknowledgment (≥ $250). ","")&amp;IF(AND(D42="Non-cash",E42&gt;5000),"Qualified appraisal required (&gt; $5,000 non-cash). ","")&amp;IF(AND(D42="Securities",G42="N"),"Held ≤ 1 year — deduction limited to cost basis. ",""))))</f>
        <v/>
      </c>
    </row>
    <row r="43" ht="18" customHeight="1">
      <c r="A43" s="22" t="n"/>
      <c r="B43" s="23" t="n"/>
      <c r="C43" s="23" t="n"/>
      <c r="D43" s="24" t="n"/>
      <c r="E43" s="25" t="n"/>
      <c r="F43" s="25" t="n"/>
      <c r="G43" s="26" t="n"/>
      <c r="H43" s="26" t="n"/>
      <c r="I43" s="27">
        <f>IF(OR(D43="",E43=""),"",IF(D43="Securities",IF(G43="N",MIN(E43,IF(F43="",E43,F43)),E43),E43))</f>
        <v/>
      </c>
      <c r="J43" s="28">
        <f>IF(E43="","",IF(TRIM(IF(AND(E43&gt;=250,H43&lt;&gt;"Y"),"Get written acknowledgment (≥ $250). ","")&amp;IF(AND(D43="Non-cash",E43&gt;5000),"Qualified appraisal required (&gt; $5,000 non-cash). ","")&amp;IF(AND(D43="Securities",G43="N"),"Held ≤ 1 year — deduction limited to cost basis. ",""))="",IF(AND(E43&gt;=250,H43="Y"),"Acknowledgment on file","—"),TRIM(IF(AND(E43&gt;=250,H43&lt;&gt;"Y"),"Get written acknowledgment (≥ $250). ","")&amp;IF(AND(D43="Non-cash",E43&gt;5000),"Qualified appraisal required (&gt; $5,000 non-cash). ","")&amp;IF(AND(D43="Securities",G43="N"),"Held ≤ 1 year — deduction limited to cost basis. ",""))))</f>
        <v/>
      </c>
    </row>
    <row r="44" ht="18" customHeight="1">
      <c r="A44" s="22" t="n"/>
      <c r="B44" s="23" t="n"/>
      <c r="C44" s="23" t="n"/>
      <c r="D44" s="24" t="n"/>
      <c r="E44" s="25" t="n"/>
      <c r="F44" s="25" t="n"/>
      <c r="G44" s="26" t="n"/>
      <c r="H44" s="26" t="n"/>
      <c r="I44" s="27">
        <f>IF(OR(D44="",E44=""),"",IF(D44="Securities",IF(G44="N",MIN(E44,IF(F44="",E44,F44)),E44),E44))</f>
        <v/>
      </c>
      <c r="J44" s="28">
        <f>IF(E44="","",IF(TRIM(IF(AND(E44&gt;=250,H44&lt;&gt;"Y"),"Get written acknowledgment (≥ $250). ","")&amp;IF(AND(D44="Non-cash",E44&gt;5000),"Qualified appraisal required (&gt; $5,000 non-cash). ","")&amp;IF(AND(D44="Securities",G44="N"),"Held ≤ 1 year — deduction limited to cost basis. ",""))="",IF(AND(E44&gt;=250,H44="Y"),"Acknowledgment on file","—"),TRIM(IF(AND(E44&gt;=250,H44&lt;&gt;"Y"),"Get written acknowledgment (≥ $250). ","")&amp;IF(AND(D44="Non-cash",E44&gt;5000),"Qualified appraisal required (&gt; $5,000 non-cash). ","")&amp;IF(AND(D44="Securities",G44="N"),"Held ≤ 1 year — deduction limited to cost basis. ",""))))</f>
        <v/>
      </c>
    </row>
    <row r="45" ht="18" customHeight="1">
      <c r="A45" s="22" t="n"/>
      <c r="B45" s="23" t="n"/>
      <c r="C45" s="23" t="n"/>
      <c r="D45" s="24" t="n"/>
      <c r="E45" s="25" t="n"/>
      <c r="F45" s="25" t="n"/>
      <c r="G45" s="26" t="n"/>
      <c r="H45" s="26" t="n"/>
      <c r="I45" s="27">
        <f>IF(OR(D45="",E45=""),"",IF(D45="Securities",IF(G45="N",MIN(E45,IF(F45="",E45,F45)),E45),E45))</f>
        <v/>
      </c>
      <c r="J45" s="28">
        <f>IF(E45="","",IF(TRIM(IF(AND(E45&gt;=250,H45&lt;&gt;"Y"),"Get written acknowledgment (≥ $250). ","")&amp;IF(AND(D45="Non-cash",E45&gt;5000),"Qualified appraisal required (&gt; $5,000 non-cash). ","")&amp;IF(AND(D45="Securities",G45="N"),"Held ≤ 1 year — deduction limited to cost basis. ",""))="",IF(AND(E45&gt;=250,H45="Y"),"Acknowledgment on file","—"),TRIM(IF(AND(E45&gt;=250,H45&lt;&gt;"Y"),"Get written acknowledgment (≥ $250). ","")&amp;IF(AND(D45="Non-cash",E45&gt;5000),"Qualified appraisal required (&gt; $5,000 non-cash). ","")&amp;IF(AND(D45="Securities",G45="N"),"Held ≤ 1 year — deduction limited to cost basis. ",""))))</f>
        <v/>
      </c>
    </row>
    <row r="46" ht="18" customHeight="1">
      <c r="A46" s="22" t="n"/>
      <c r="B46" s="23" t="n"/>
      <c r="C46" s="23" t="n"/>
      <c r="D46" s="24" t="n"/>
      <c r="E46" s="25" t="n"/>
      <c r="F46" s="25" t="n"/>
      <c r="G46" s="26" t="n"/>
      <c r="H46" s="26" t="n"/>
      <c r="I46" s="27">
        <f>IF(OR(D46="",E46=""),"",IF(D46="Securities",IF(G46="N",MIN(E46,IF(F46="",E46,F46)),E46),E46))</f>
        <v/>
      </c>
      <c r="J46" s="28">
        <f>IF(E46="","",IF(TRIM(IF(AND(E46&gt;=250,H46&lt;&gt;"Y"),"Get written acknowledgment (≥ $250). ","")&amp;IF(AND(D46="Non-cash",E46&gt;5000),"Qualified appraisal required (&gt; $5,000 non-cash). ","")&amp;IF(AND(D46="Securities",G46="N"),"Held ≤ 1 year — deduction limited to cost basis. ",""))="",IF(AND(E46&gt;=250,H46="Y"),"Acknowledgment on file","—"),TRIM(IF(AND(E46&gt;=250,H46&lt;&gt;"Y"),"Get written acknowledgment (≥ $250). ","")&amp;IF(AND(D46="Non-cash",E46&gt;5000),"Qualified appraisal required (&gt; $5,000 non-cash). ","")&amp;IF(AND(D46="Securities",G46="N"),"Held ≤ 1 year — deduction limited to cost basis. ",""))))</f>
        <v/>
      </c>
    </row>
    <row r="47" ht="18" customHeight="1">
      <c r="A47" s="22" t="n"/>
      <c r="B47" s="23" t="n"/>
      <c r="C47" s="23" t="n"/>
      <c r="D47" s="24" t="n"/>
      <c r="E47" s="25" t="n"/>
      <c r="F47" s="25" t="n"/>
      <c r="G47" s="26" t="n"/>
      <c r="H47" s="26" t="n"/>
      <c r="I47" s="27">
        <f>IF(OR(D47="",E47=""),"",IF(D47="Securities",IF(G47="N",MIN(E47,IF(F47="",E47,F47)),E47),E47))</f>
        <v/>
      </c>
      <c r="J47" s="28">
        <f>IF(E47="","",IF(TRIM(IF(AND(E47&gt;=250,H47&lt;&gt;"Y"),"Get written acknowledgment (≥ $250). ","")&amp;IF(AND(D47="Non-cash",E47&gt;5000),"Qualified appraisal required (&gt; $5,000 non-cash). ","")&amp;IF(AND(D47="Securities",G47="N"),"Held ≤ 1 year — deduction limited to cost basis. ",""))="",IF(AND(E47&gt;=250,H47="Y"),"Acknowledgment on file","—"),TRIM(IF(AND(E47&gt;=250,H47&lt;&gt;"Y"),"Get written acknowledgment (≥ $250). ","")&amp;IF(AND(D47="Non-cash",E47&gt;5000),"Qualified appraisal required (&gt; $5,000 non-cash). ","")&amp;IF(AND(D47="Securities",G47="N"),"Held ≤ 1 year — deduction limited to cost basis. ",""))))</f>
        <v/>
      </c>
    </row>
    <row r="48" ht="18" customHeight="1">
      <c r="A48" s="22" t="n"/>
      <c r="B48" s="23" t="n"/>
      <c r="C48" s="23" t="n"/>
      <c r="D48" s="24" t="n"/>
      <c r="E48" s="25" t="n"/>
      <c r="F48" s="25" t="n"/>
      <c r="G48" s="26" t="n"/>
      <c r="H48" s="26" t="n"/>
      <c r="I48" s="27">
        <f>IF(OR(D48="",E48=""),"",IF(D48="Securities",IF(G48="N",MIN(E48,IF(F48="",E48,F48)),E48),E48))</f>
        <v/>
      </c>
      <c r="J48" s="28">
        <f>IF(E48="","",IF(TRIM(IF(AND(E48&gt;=250,H48&lt;&gt;"Y"),"Get written acknowledgment (≥ $250). ","")&amp;IF(AND(D48="Non-cash",E48&gt;5000),"Qualified appraisal required (&gt; $5,000 non-cash). ","")&amp;IF(AND(D48="Securities",G48="N"),"Held ≤ 1 year — deduction limited to cost basis. ",""))="",IF(AND(E48&gt;=250,H48="Y"),"Acknowledgment on file","—"),TRIM(IF(AND(E48&gt;=250,H48&lt;&gt;"Y"),"Get written acknowledgment (≥ $250). ","")&amp;IF(AND(D48="Non-cash",E48&gt;5000),"Qualified appraisal required (&gt; $5,000 non-cash). ","")&amp;IF(AND(D48="Securities",G48="N"),"Held ≤ 1 year — deduction limited to cost basis. ",""))))</f>
        <v/>
      </c>
    </row>
    <row r="49" ht="18" customHeight="1">
      <c r="A49" s="22" t="n"/>
      <c r="B49" s="23" t="n"/>
      <c r="C49" s="23" t="n"/>
      <c r="D49" s="24" t="n"/>
      <c r="E49" s="25" t="n"/>
      <c r="F49" s="25" t="n"/>
      <c r="G49" s="26" t="n"/>
      <c r="H49" s="26" t="n"/>
      <c r="I49" s="27">
        <f>IF(OR(D49="",E49=""),"",IF(D49="Securities",IF(G49="N",MIN(E49,IF(F49="",E49,F49)),E49),E49))</f>
        <v/>
      </c>
      <c r="J49" s="28">
        <f>IF(E49="","",IF(TRIM(IF(AND(E49&gt;=250,H49&lt;&gt;"Y"),"Get written acknowledgment (≥ $250). ","")&amp;IF(AND(D49="Non-cash",E49&gt;5000),"Qualified appraisal required (&gt; $5,000 non-cash). ","")&amp;IF(AND(D49="Securities",G49="N"),"Held ≤ 1 year — deduction limited to cost basis. ",""))="",IF(AND(E49&gt;=250,H49="Y"),"Acknowledgment on file","—"),TRIM(IF(AND(E49&gt;=250,H49&lt;&gt;"Y"),"Get written acknowledgment (≥ $250). ","")&amp;IF(AND(D49="Non-cash",E49&gt;5000),"Qualified appraisal required (&gt; $5,000 non-cash). ","")&amp;IF(AND(D49="Securities",G49="N"),"Held ≤ 1 year — deduction limited to cost basis. ",""))))</f>
        <v/>
      </c>
    </row>
    <row r="50" ht="18" customHeight="1">
      <c r="A50" s="22" t="n"/>
      <c r="B50" s="23" t="n"/>
      <c r="C50" s="23" t="n"/>
      <c r="D50" s="24" t="n"/>
      <c r="E50" s="25" t="n"/>
      <c r="F50" s="25" t="n"/>
      <c r="G50" s="26" t="n"/>
      <c r="H50" s="26" t="n"/>
      <c r="I50" s="27">
        <f>IF(OR(D50="",E50=""),"",IF(D50="Securities",IF(G50="N",MIN(E50,IF(F50="",E50,F50)),E50),E50))</f>
        <v/>
      </c>
      <c r="J50" s="28">
        <f>IF(E50="","",IF(TRIM(IF(AND(E50&gt;=250,H50&lt;&gt;"Y"),"Get written acknowledgment (≥ $250). ","")&amp;IF(AND(D50="Non-cash",E50&gt;5000),"Qualified appraisal required (&gt; $5,000 non-cash). ","")&amp;IF(AND(D50="Securities",G50="N"),"Held ≤ 1 year — deduction limited to cost basis. ",""))="",IF(AND(E50&gt;=250,H50="Y"),"Acknowledgment on file","—"),TRIM(IF(AND(E50&gt;=250,H50&lt;&gt;"Y"),"Get written acknowledgment (≥ $250). ","")&amp;IF(AND(D50="Non-cash",E50&gt;5000),"Qualified appraisal required (&gt; $5,000 non-cash). ","")&amp;IF(AND(D50="Securities",G50="N"),"Held ≤ 1 year — deduction limited to cost basis. ",""))))</f>
        <v/>
      </c>
    </row>
    <row r="51" ht="18" customHeight="1">
      <c r="A51" s="22" t="n"/>
      <c r="B51" s="23" t="n"/>
      <c r="C51" s="23" t="n"/>
      <c r="D51" s="24" t="n"/>
      <c r="E51" s="25" t="n"/>
      <c r="F51" s="25" t="n"/>
      <c r="G51" s="26" t="n"/>
      <c r="H51" s="26" t="n"/>
      <c r="I51" s="27">
        <f>IF(OR(D51="",E51=""),"",IF(D51="Securities",IF(G51="N",MIN(E51,IF(F51="",E51,F51)),E51),E51))</f>
        <v/>
      </c>
      <c r="J51" s="28">
        <f>IF(E51="","",IF(TRIM(IF(AND(E51&gt;=250,H51&lt;&gt;"Y"),"Get written acknowledgment (≥ $250). ","")&amp;IF(AND(D51="Non-cash",E51&gt;5000),"Qualified appraisal required (&gt; $5,000 non-cash). ","")&amp;IF(AND(D51="Securities",G51="N"),"Held ≤ 1 year — deduction limited to cost basis. ",""))="",IF(AND(E51&gt;=250,H51="Y"),"Acknowledgment on file","—"),TRIM(IF(AND(E51&gt;=250,H51&lt;&gt;"Y"),"Get written acknowledgment (≥ $250). ","")&amp;IF(AND(D51="Non-cash",E51&gt;5000),"Qualified appraisal required (&gt; $5,000 non-cash). ","")&amp;IF(AND(D51="Securities",G51="N"),"Held ≤ 1 year — deduction limited to cost basis. ",""))))</f>
        <v/>
      </c>
    </row>
    <row r="52" ht="18" customHeight="1">
      <c r="A52" s="22" t="n"/>
      <c r="B52" s="23" t="n"/>
      <c r="C52" s="23" t="n"/>
      <c r="D52" s="24" t="n"/>
      <c r="E52" s="25" t="n"/>
      <c r="F52" s="25" t="n"/>
      <c r="G52" s="26" t="n"/>
      <c r="H52" s="26" t="n"/>
      <c r="I52" s="27">
        <f>IF(OR(D52="",E52=""),"",IF(D52="Securities",IF(G52="N",MIN(E52,IF(F52="",E52,F52)),E52),E52))</f>
        <v/>
      </c>
      <c r="J52" s="28">
        <f>IF(E52="","",IF(TRIM(IF(AND(E52&gt;=250,H52&lt;&gt;"Y"),"Get written acknowledgment (≥ $250). ","")&amp;IF(AND(D52="Non-cash",E52&gt;5000),"Qualified appraisal required (&gt; $5,000 non-cash). ","")&amp;IF(AND(D52="Securities",G52="N"),"Held ≤ 1 year — deduction limited to cost basis. ",""))="",IF(AND(E52&gt;=250,H52="Y"),"Acknowledgment on file","—"),TRIM(IF(AND(E52&gt;=250,H52&lt;&gt;"Y"),"Get written acknowledgment (≥ $250). ","")&amp;IF(AND(D52="Non-cash",E52&gt;5000),"Qualified appraisal required (&gt; $5,000 non-cash). ","")&amp;IF(AND(D52="Securities",G52="N"),"Held ≤ 1 year — deduction limited to cost basis. ",""))))</f>
        <v/>
      </c>
    </row>
    <row r="53" ht="18" customHeight="1">
      <c r="A53" s="22" t="n"/>
      <c r="B53" s="23" t="n"/>
      <c r="C53" s="23" t="n"/>
      <c r="D53" s="24" t="n"/>
      <c r="E53" s="25" t="n"/>
      <c r="F53" s="25" t="n"/>
      <c r="G53" s="26" t="n"/>
      <c r="H53" s="26" t="n"/>
      <c r="I53" s="27">
        <f>IF(OR(D53="",E53=""),"",IF(D53="Securities",IF(G53="N",MIN(E53,IF(F53="",E53,F53)),E53),E53))</f>
        <v/>
      </c>
      <c r="J53" s="28">
        <f>IF(E53="","",IF(TRIM(IF(AND(E53&gt;=250,H53&lt;&gt;"Y"),"Get written acknowledgment (≥ $250). ","")&amp;IF(AND(D53="Non-cash",E53&gt;5000),"Qualified appraisal required (&gt; $5,000 non-cash). ","")&amp;IF(AND(D53="Securities",G53="N"),"Held ≤ 1 year — deduction limited to cost basis. ",""))="",IF(AND(E53&gt;=250,H53="Y"),"Acknowledgment on file","—"),TRIM(IF(AND(E53&gt;=250,H53&lt;&gt;"Y"),"Get written acknowledgment (≥ $250). ","")&amp;IF(AND(D53="Non-cash",E53&gt;5000),"Qualified appraisal required (&gt; $5,000 non-cash). ","")&amp;IF(AND(D53="Securities",G53="N"),"Held ≤ 1 year — deduction limited to cost basis. ",""))))</f>
        <v/>
      </c>
    </row>
    <row r="54" ht="18" customHeight="1">
      <c r="A54" s="22" t="n"/>
      <c r="B54" s="23" t="n"/>
      <c r="C54" s="23" t="n"/>
      <c r="D54" s="24" t="n"/>
      <c r="E54" s="25" t="n"/>
      <c r="F54" s="25" t="n"/>
      <c r="G54" s="26" t="n"/>
      <c r="H54" s="26" t="n"/>
      <c r="I54" s="27">
        <f>IF(OR(D54="",E54=""),"",IF(D54="Securities",IF(G54="N",MIN(E54,IF(F54="",E54,F54)),E54),E54))</f>
        <v/>
      </c>
      <c r="J54" s="28">
        <f>IF(E54="","",IF(TRIM(IF(AND(E54&gt;=250,H54&lt;&gt;"Y"),"Get written acknowledgment (≥ $250). ","")&amp;IF(AND(D54="Non-cash",E54&gt;5000),"Qualified appraisal required (&gt; $5,000 non-cash). ","")&amp;IF(AND(D54="Securities",G54="N"),"Held ≤ 1 year — deduction limited to cost basis. ",""))="",IF(AND(E54&gt;=250,H54="Y"),"Acknowledgment on file","—"),TRIM(IF(AND(E54&gt;=250,H54&lt;&gt;"Y"),"Get written acknowledgment (≥ $250). ","")&amp;IF(AND(D54="Non-cash",E54&gt;5000),"Qualified appraisal required (&gt; $5,000 non-cash). ","")&amp;IF(AND(D54="Securities",G54="N"),"Held ≤ 1 year — deduction limited to cost basis. ",""))))</f>
        <v/>
      </c>
    </row>
    <row r="55" ht="18" customHeight="1">
      <c r="A55" s="22" t="n"/>
      <c r="B55" s="23" t="n"/>
      <c r="C55" s="23" t="n"/>
      <c r="D55" s="24" t="n"/>
      <c r="E55" s="25" t="n"/>
      <c r="F55" s="25" t="n"/>
      <c r="G55" s="26" t="n"/>
      <c r="H55" s="26" t="n"/>
      <c r="I55" s="27">
        <f>IF(OR(D55="",E55=""),"",IF(D55="Securities",IF(G55="N",MIN(E55,IF(F55="",E55,F55)),E55),E55))</f>
        <v/>
      </c>
      <c r="J55" s="28">
        <f>IF(E55="","",IF(TRIM(IF(AND(E55&gt;=250,H55&lt;&gt;"Y"),"Get written acknowledgment (≥ $250). ","")&amp;IF(AND(D55="Non-cash",E55&gt;5000),"Qualified appraisal required (&gt; $5,000 non-cash). ","")&amp;IF(AND(D55="Securities",G55="N"),"Held ≤ 1 year — deduction limited to cost basis. ",""))="",IF(AND(E55&gt;=250,H55="Y"),"Acknowledgment on file","—"),TRIM(IF(AND(E55&gt;=250,H55&lt;&gt;"Y"),"Get written acknowledgment (≥ $250). ","")&amp;IF(AND(D55="Non-cash",E55&gt;5000),"Qualified appraisal required (&gt; $5,000 non-cash). ","")&amp;IF(AND(D55="Securities",G55="N"),"Held ≤ 1 year — deduction limited to cost basis. ",""))))</f>
        <v/>
      </c>
    </row>
    <row r="56" ht="18" customHeight="1">
      <c r="A56" s="22" t="n"/>
      <c r="B56" s="23" t="n"/>
      <c r="C56" s="23" t="n"/>
      <c r="D56" s="24" t="n"/>
      <c r="E56" s="25" t="n"/>
      <c r="F56" s="25" t="n"/>
      <c r="G56" s="26" t="n"/>
      <c r="H56" s="26" t="n"/>
      <c r="I56" s="27">
        <f>IF(OR(D56="",E56=""),"",IF(D56="Securities",IF(G56="N",MIN(E56,IF(F56="",E56,F56)),E56),E56))</f>
        <v/>
      </c>
      <c r="J56" s="28">
        <f>IF(E56="","",IF(TRIM(IF(AND(E56&gt;=250,H56&lt;&gt;"Y"),"Get written acknowledgment (≥ $250). ","")&amp;IF(AND(D56="Non-cash",E56&gt;5000),"Qualified appraisal required (&gt; $5,000 non-cash). ","")&amp;IF(AND(D56="Securities",G56="N"),"Held ≤ 1 year — deduction limited to cost basis. ",""))="",IF(AND(E56&gt;=250,H56="Y"),"Acknowledgment on file","—"),TRIM(IF(AND(E56&gt;=250,H56&lt;&gt;"Y"),"Get written acknowledgment (≥ $250). ","")&amp;IF(AND(D56="Non-cash",E56&gt;5000),"Qualified appraisal required (&gt; $5,000 non-cash). ","")&amp;IF(AND(D56="Securities",G56="N"),"Held ≤ 1 year — deduction limited to cost basis. ",""))))</f>
        <v/>
      </c>
    </row>
    <row r="57" ht="18" customHeight="1">
      <c r="A57" s="22" t="n"/>
      <c r="B57" s="23" t="n"/>
      <c r="C57" s="23" t="n"/>
      <c r="D57" s="24" t="n"/>
      <c r="E57" s="25" t="n"/>
      <c r="F57" s="25" t="n"/>
      <c r="G57" s="26" t="n"/>
      <c r="H57" s="26" t="n"/>
      <c r="I57" s="27">
        <f>IF(OR(D57="",E57=""),"",IF(D57="Securities",IF(G57="N",MIN(E57,IF(F57="",E57,F57)),E57),E57))</f>
        <v/>
      </c>
      <c r="J57" s="28">
        <f>IF(E57="","",IF(TRIM(IF(AND(E57&gt;=250,H57&lt;&gt;"Y"),"Get written acknowledgment (≥ $250). ","")&amp;IF(AND(D57="Non-cash",E57&gt;5000),"Qualified appraisal required (&gt; $5,000 non-cash). ","")&amp;IF(AND(D57="Securities",G57="N"),"Held ≤ 1 year — deduction limited to cost basis. ",""))="",IF(AND(E57&gt;=250,H57="Y"),"Acknowledgment on file","—"),TRIM(IF(AND(E57&gt;=250,H57&lt;&gt;"Y"),"Get written acknowledgment (≥ $250). ","")&amp;IF(AND(D57="Non-cash",E57&gt;5000),"Qualified appraisal required (&gt; $5,000 non-cash). ","")&amp;IF(AND(D57="Securities",G57="N"),"Held ≤ 1 year — deduction limited to cost basis. ",""))))</f>
        <v/>
      </c>
    </row>
    <row r="58" ht="18" customHeight="1">
      <c r="A58" s="22" t="n"/>
      <c r="B58" s="23" t="n"/>
      <c r="C58" s="23" t="n"/>
      <c r="D58" s="24" t="n"/>
      <c r="E58" s="25" t="n"/>
      <c r="F58" s="25" t="n"/>
      <c r="G58" s="26" t="n"/>
      <c r="H58" s="26" t="n"/>
      <c r="I58" s="27">
        <f>IF(OR(D58="",E58=""),"",IF(D58="Securities",IF(G58="N",MIN(E58,IF(F58="",E58,F58)),E58),E58))</f>
        <v/>
      </c>
      <c r="J58" s="28">
        <f>IF(E58="","",IF(TRIM(IF(AND(E58&gt;=250,H58&lt;&gt;"Y"),"Get written acknowledgment (≥ $250). ","")&amp;IF(AND(D58="Non-cash",E58&gt;5000),"Qualified appraisal required (&gt; $5,000 non-cash). ","")&amp;IF(AND(D58="Securities",G58="N"),"Held ≤ 1 year — deduction limited to cost basis. ",""))="",IF(AND(E58&gt;=250,H58="Y"),"Acknowledgment on file","—"),TRIM(IF(AND(E58&gt;=250,H58&lt;&gt;"Y"),"Get written acknowledgment (≥ $250). ","")&amp;IF(AND(D58="Non-cash",E58&gt;5000),"Qualified appraisal required (&gt; $5,000 non-cash). ","")&amp;IF(AND(D58="Securities",G58="N"),"Held ≤ 1 year — deduction limited to cost basis. ",""))))</f>
        <v/>
      </c>
    </row>
    <row r="59" ht="18" customHeight="1">
      <c r="A59" s="22" t="n"/>
      <c r="B59" s="23" t="n"/>
      <c r="C59" s="23" t="n"/>
      <c r="D59" s="24" t="n"/>
      <c r="E59" s="25" t="n"/>
      <c r="F59" s="25" t="n"/>
      <c r="G59" s="26" t="n"/>
      <c r="H59" s="26" t="n"/>
      <c r="I59" s="27">
        <f>IF(OR(D59="",E59=""),"",IF(D59="Securities",IF(G59="N",MIN(E59,IF(F59="",E59,F59)),E59),E59))</f>
        <v/>
      </c>
      <c r="J59" s="28">
        <f>IF(E59="","",IF(TRIM(IF(AND(E59&gt;=250,H59&lt;&gt;"Y"),"Get written acknowledgment (≥ $250). ","")&amp;IF(AND(D59="Non-cash",E59&gt;5000),"Qualified appraisal required (&gt; $5,000 non-cash). ","")&amp;IF(AND(D59="Securities",G59="N"),"Held ≤ 1 year — deduction limited to cost basis. ",""))="",IF(AND(E59&gt;=250,H59="Y"),"Acknowledgment on file","—"),TRIM(IF(AND(E59&gt;=250,H59&lt;&gt;"Y"),"Get written acknowledgment (≥ $250). ","")&amp;IF(AND(D59="Non-cash",E59&gt;5000),"Qualified appraisal required (&gt; $5,000 non-cash). ","")&amp;IF(AND(D59="Securities",G59="N"),"Held ≤ 1 year — deduction limited to cost basis. ",""))))</f>
        <v/>
      </c>
    </row>
    <row r="60" ht="18" customHeight="1">
      <c r="A60" s="22" t="n"/>
      <c r="B60" s="23" t="n"/>
      <c r="C60" s="23" t="n"/>
      <c r="D60" s="24" t="n"/>
      <c r="E60" s="25" t="n"/>
      <c r="F60" s="25" t="n"/>
      <c r="G60" s="26" t="n"/>
      <c r="H60" s="26" t="n"/>
      <c r="I60" s="27">
        <f>IF(OR(D60="",E60=""),"",IF(D60="Securities",IF(G60="N",MIN(E60,IF(F60="",E60,F60)),E60),E60))</f>
        <v/>
      </c>
      <c r="J60" s="28">
        <f>IF(E60="","",IF(TRIM(IF(AND(E60&gt;=250,H60&lt;&gt;"Y"),"Get written acknowledgment (≥ $250). ","")&amp;IF(AND(D60="Non-cash",E60&gt;5000),"Qualified appraisal required (&gt; $5,000 non-cash). ","")&amp;IF(AND(D60="Securities",G60="N"),"Held ≤ 1 year — deduction limited to cost basis. ",""))="",IF(AND(E60&gt;=250,H60="Y"),"Acknowledgment on file","—"),TRIM(IF(AND(E60&gt;=250,H60&lt;&gt;"Y"),"Get written acknowledgment (≥ $250). ","")&amp;IF(AND(D60="Non-cash",E60&gt;5000),"Qualified appraisal required (&gt; $5,000 non-cash). ","")&amp;IF(AND(D60="Securities",G60="N"),"Held ≤ 1 year — deduction limited to cost basis. ",""))))</f>
        <v/>
      </c>
    </row>
    <row r="61" ht="18" customHeight="1">
      <c r="A61" s="22" t="n"/>
      <c r="B61" s="23" t="n"/>
      <c r="C61" s="23" t="n"/>
      <c r="D61" s="24" t="n"/>
      <c r="E61" s="25" t="n"/>
      <c r="F61" s="25" t="n"/>
      <c r="G61" s="26" t="n"/>
      <c r="H61" s="26" t="n"/>
      <c r="I61" s="27">
        <f>IF(OR(D61="",E61=""),"",IF(D61="Securities",IF(G61="N",MIN(E61,IF(F61="",E61,F61)),E61),E61))</f>
        <v/>
      </c>
      <c r="J61" s="28">
        <f>IF(E61="","",IF(TRIM(IF(AND(E61&gt;=250,H61&lt;&gt;"Y"),"Get written acknowledgment (≥ $250). ","")&amp;IF(AND(D61="Non-cash",E61&gt;5000),"Qualified appraisal required (&gt; $5,000 non-cash). ","")&amp;IF(AND(D61="Securities",G61="N"),"Held ≤ 1 year — deduction limited to cost basis. ",""))="",IF(AND(E61&gt;=250,H61="Y"),"Acknowledgment on file","—"),TRIM(IF(AND(E61&gt;=250,H61&lt;&gt;"Y"),"Get written acknowledgment (≥ $250). ","")&amp;IF(AND(D61="Non-cash",E61&gt;5000),"Qualified appraisal required (&gt; $5,000 non-cash). ","")&amp;IF(AND(D61="Securities",G61="N"),"Held ≤ 1 year — deduction limited to cost basis. ",""))))</f>
        <v/>
      </c>
    </row>
    <row r="62" ht="18" customHeight="1">
      <c r="A62" s="22" t="n"/>
      <c r="B62" s="23" t="n"/>
      <c r="C62" s="23" t="n"/>
      <c r="D62" s="24" t="n"/>
      <c r="E62" s="25" t="n"/>
      <c r="F62" s="25" t="n"/>
      <c r="G62" s="26" t="n"/>
      <c r="H62" s="26" t="n"/>
      <c r="I62" s="27">
        <f>IF(OR(D62="",E62=""),"",IF(D62="Securities",IF(G62="N",MIN(E62,IF(F62="",E62,F62)),E62),E62))</f>
        <v/>
      </c>
      <c r="J62" s="28">
        <f>IF(E62="","",IF(TRIM(IF(AND(E62&gt;=250,H62&lt;&gt;"Y"),"Get written acknowledgment (≥ $250). ","")&amp;IF(AND(D62="Non-cash",E62&gt;5000),"Qualified appraisal required (&gt; $5,000 non-cash). ","")&amp;IF(AND(D62="Securities",G62="N"),"Held ≤ 1 year — deduction limited to cost basis. ",""))="",IF(AND(E62&gt;=250,H62="Y"),"Acknowledgment on file","—"),TRIM(IF(AND(E62&gt;=250,H62&lt;&gt;"Y"),"Get written acknowledgment (≥ $250). ","")&amp;IF(AND(D62="Non-cash",E62&gt;5000),"Qualified appraisal required (&gt; $5,000 non-cash). ","")&amp;IF(AND(D62="Securities",G62="N"),"Held ≤ 1 year — deduction limited to cost basis. ",""))))</f>
        <v/>
      </c>
    </row>
    <row r="63" ht="18" customHeight="1">
      <c r="A63" s="22" t="n"/>
      <c r="B63" s="23" t="n"/>
      <c r="C63" s="23" t="n"/>
      <c r="D63" s="24" t="n"/>
      <c r="E63" s="25" t="n"/>
      <c r="F63" s="25" t="n"/>
      <c r="G63" s="26" t="n"/>
      <c r="H63" s="26" t="n"/>
      <c r="I63" s="27">
        <f>IF(OR(D63="",E63=""),"",IF(D63="Securities",IF(G63="N",MIN(E63,IF(F63="",E63,F63)),E63),E63))</f>
        <v/>
      </c>
      <c r="J63" s="28">
        <f>IF(E63="","",IF(TRIM(IF(AND(E63&gt;=250,H63&lt;&gt;"Y"),"Get written acknowledgment (≥ $250). ","")&amp;IF(AND(D63="Non-cash",E63&gt;5000),"Qualified appraisal required (&gt; $5,000 non-cash). ","")&amp;IF(AND(D63="Securities",G63="N"),"Held ≤ 1 year — deduction limited to cost basis. ",""))="",IF(AND(E63&gt;=250,H63="Y"),"Acknowledgment on file","—"),TRIM(IF(AND(E63&gt;=250,H63&lt;&gt;"Y"),"Get written acknowledgment (≥ $250). ","")&amp;IF(AND(D63="Non-cash",E63&gt;5000),"Qualified appraisal required (&gt; $5,000 non-cash). ","")&amp;IF(AND(D63="Securities",G63="N"),"Held ≤ 1 year — deduction limited to cost basis. ",""))))</f>
        <v/>
      </c>
    </row>
    <row r="64" ht="18" customHeight="1">
      <c r="A64" s="22" t="n"/>
      <c r="B64" s="23" t="n"/>
      <c r="C64" s="23" t="n"/>
      <c r="D64" s="24" t="n"/>
      <c r="E64" s="25" t="n"/>
      <c r="F64" s="25" t="n"/>
      <c r="G64" s="26" t="n"/>
      <c r="H64" s="26" t="n"/>
      <c r="I64" s="27">
        <f>IF(OR(D64="",E64=""),"",IF(D64="Securities",IF(G64="N",MIN(E64,IF(F64="",E64,F64)),E64),E64))</f>
        <v/>
      </c>
      <c r="J64" s="28">
        <f>IF(E64="","",IF(TRIM(IF(AND(E64&gt;=250,H64&lt;&gt;"Y"),"Get written acknowledgment (≥ $250). ","")&amp;IF(AND(D64="Non-cash",E64&gt;5000),"Qualified appraisal required (&gt; $5,000 non-cash). ","")&amp;IF(AND(D64="Securities",G64="N"),"Held ≤ 1 year — deduction limited to cost basis. ",""))="",IF(AND(E64&gt;=250,H64="Y"),"Acknowledgment on file","—"),TRIM(IF(AND(E64&gt;=250,H64&lt;&gt;"Y"),"Get written acknowledgment (≥ $250). ","")&amp;IF(AND(D64="Non-cash",E64&gt;5000),"Qualified appraisal required (&gt; $5,000 non-cash). ","")&amp;IF(AND(D64="Securities",G64="N"),"Held ≤ 1 year — deduction limited to cost basis. ",""))))</f>
        <v/>
      </c>
    </row>
    <row r="65" ht="18" customHeight="1">
      <c r="A65" s="22" t="n"/>
      <c r="B65" s="23" t="n"/>
      <c r="C65" s="23" t="n"/>
      <c r="D65" s="24" t="n"/>
      <c r="E65" s="25" t="n"/>
      <c r="F65" s="25" t="n"/>
      <c r="G65" s="26" t="n"/>
      <c r="H65" s="26" t="n"/>
      <c r="I65" s="27">
        <f>IF(OR(D65="",E65=""),"",IF(D65="Securities",IF(G65="N",MIN(E65,IF(F65="",E65,F65)),E65),E65))</f>
        <v/>
      </c>
      <c r="J65" s="28">
        <f>IF(E65="","",IF(TRIM(IF(AND(E65&gt;=250,H65&lt;&gt;"Y"),"Get written acknowledgment (≥ $250). ","")&amp;IF(AND(D65="Non-cash",E65&gt;5000),"Qualified appraisal required (&gt; $5,000 non-cash). ","")&amp;IF(AND(D65="Securities",G65="N"),"Held ≤ 1 year — deduction limited to cost basis. ",""))="",IF(AND(E65&gt;=250,H65="Y"),"Acknowledgment on file","—"),TRIM(IF(AND(E65&gt;=250,H65&lt;&gt;"Y"),"Get written acknowledgment (≥ $250). ","")&amp;IF(AND(D65="Non-cash",E65&gt;5000),"Qualified appraisal required (&gt; $5,000 non-cash). ","")&amp;IF(AND(D65="Securities",G65="N"),"Held ≤ 1 year — deduction limited to cost basis. ",""))))</f>
        <v/>
      </c>
    </row>
    <row r="66" ht="18" customHeight="1">
      <c r="A66" s="22" t="n"/>
      <c r="B66" s="23" t="n"/>
      <c r="C66" s="23" t="n"/>
      <c r="D66" s="24" t="n"/>
      <c r="E66" s="25" t="n"/>
      <c r="F66" s="25" t="n"/>
      <c r="G66" s="26" t="n"/>
      <c r="H66" s="26" t="n"/>
      <c r="I66" s="27">
        <f>IF(OR(D66="",E66=""),"",IF(D66="Securities",IF(G66="N",MIN(E66,IF(F66="",E66,F66)),E66),E66))</f>
        <v/>
      </c>
      <c r="J66" s="28">
        <f>IF(E66="","",IF(TRIM(IF(AND(E66&gt;=250,H66&lt;&gt;"Y"),"Get written acknowledgment (≥ $250). ","")&amp;IF(AND(D66="Non-cash",E66&gt;5000),"Qualified appraisal required (&gt; $5,000 non-cash). ","")&amp;IF(AND(D66="Securities",G66="N"),"Held ≤ 1 year — deduction limited to cost basis. ",""))="",IF(AND(E66&gt;=250,H66="Y"),"Acknowledgment on file","—"),TRIM(IF(AND(E66&gt;=250,H66&lt;&gt;"Y"),"Get written acknowledgment (≥ $250). ","")&amp;IF(AND(D66="Non-cash",E66&gt;5000),"Qualified appraisal required (&gt; $5,000 non-cash). ","")&amp;IF(AND(D66="Securities",G66="N"),"Held ≤ 1 year — deduction limited to cost basis. ",""))))</f>
        <v/>
      </c>
    </row>
    <row r="67" ht="18" customHeight="1">
      <c r="A67" s="22" t="n"/>
      <c r="B67" s="23" t="n"/>
      <c r="C67" s="23" t="n"/>
      <c r="D67" s="24" t="n"/>
      <c r="E67" s="25" t="n"/>
      <c r="F67" s="25" t="n"/>
      <c r="G67" s="26" t="n"/>
      <c r="H67" s="26" t="n"/>
      <c r="I67" s="27">
        <f>IF(OR(D67="",E67=""),"",IF(D67="Securities",IF(G67="N",MIN(E67,IF(F67="",E67,F67)),E67),E67))</f>
        <v/>
      </c>
      <c r="J67" s="28">
        <f>IF(E67="","",IF(TRIM(IF(AND(E67&gt;=250,H67&lt;&gt;"Y"),"Get written acknowledgment (≥ $250). ","")&amp;IF(AND(D67="Non-cash",E67&gt;5000),"Qualified appraisal required (&gt; $5,000 non-cash). ","")&amp;IF(AND(D67="Securities",G67="N"),"Held ≤ 1 year — deduction limited to cost basis. ",""))="",IF(AND(E67&gt;=250,H67="Y"),"Acknowledgment on file","—"),TRIM(IF(AND(E67&gt;=250,H67&lt;&gt;"Y"),"Get written acknowledgment (≥ $250). ","")&amp;IF(AND(D67="Non-cash",E67&gt;5000),"Qualified appraisal required (&gt; $5,000 non-cash). ","")&amp;IF(AND(D67="Securities",G67="N"),"Held ≤ 1 year — deduction limited to cost basis. ",""))))</f>
        <v/>
      </c>
    </row>
    <row r="68" ht="18" customHeight="1">
      <c r="A68" s="22" t="n"/>
      <c r="B68" s="23" t="n"/>
      <c r="C68" s="23" t="n"/>
      <c r="D68" s="24" t="n"/>
      <c r="E68" s="25" t="n"/>
      <c r="F68" s="25" t="n"/>
      <c r="G68" s="26" t="n"/>
      <c r="H68" s="26" t="n"/>
      <c r="I68" s="27">
        <f>IF(OR(D68="",E68=""),"",IF(D68="Securities",IF(G68="N",MIN(E68,IF(F68="",E68,F68)),E68),E68))</f>
        <v/>
      </c>
      <c r="J68" s="28">
        <f>IF(E68="","",IF(TRIM(IF(AND(E68&gt;=250,H68&lt;&gt;"Y"),"Get written acknowledgment (≥ $250). ","")&amp;IF(AND(D68="Non-cash",E68&gt;5000),"Qualified appraisal required (&gt; $5,000 non-cash). ","")&amp;IF(AND(D68="Securities",G68="N"),"Held ≤ 1 year — deduction limited to cost basis. ",""))="",IF(AND(E68&gt;=250,H68="Y"),"Acknowledgment on file","—"),TRIM(IF(AND(E68&gt;=250,H68&lt;&gt;"Y"),"Get written acknowledgment (≥ $250). ","")&amp;IF(AND(D68="Non-cash",E68&gt;5000),"Qualified appraisal required (&gt; $5,000 non-cash). ","")&amp;IF(AND(D68="Securities",G68="N"),"Held ≤ 1 year — deduction limited to cost basis. ",""))))</f>
        <v/>
      </c>
    </row>
    <row r="69" ht="18" customHeight="1">
      <c r="A69" s="22" t="n"/>
      <c r="B69" s="23" t="n"/>
      <c r="C69" s="23" t="n"/>
      <c r="D69" s="24" t="n"/>
      <c r="E69" s="25" t="n"/>
      <c r="F69" s="25" t="n"/>
      <c r="G69" s="26" t="n"/>
      <c r="H69" s="26" t="n"/>
      <c r="I69" s="27">
        <f>IF(OR(D69="",E69=""),"",IF(D69="Securities",IF(G69="N",MIN(E69,IF(F69="",E69,F69)),E69),E69))</f>
        <v/>
      </c>
      <c r="J69" s="28">
        <f>IF(E69="","",IF(TRIM(IF(AND(E69&gt;=250,H69&lt;&gt;"Y"),"Get written acknowledgment (≥ $250). ","")&amp;IF(AND(D69="Non-cash",E69&gt;5000),"Qualified appraisal required (&gt; $5,000 non-cash). ","")&amp;IF(AND(D69="Securities",G69="N"),"Held ≤ 1 year — deduction limited to cost basis. ",""))="",IF(AND(E69&gt;=250,H69="Y"),"Acknowledgment on file","—"),TRIM(IF(AND(E69&gt;=250,H69&lt;&gt;"Y"),"Get written acknowledgment (≥ $250). ","")&amp;IF(AND(D69="Non-cash",E69&gt;5000),"Qualified appraisal required (&gt; $5,000 non-cash). ","")&amp;IF(AND(D69="Securities",G69="N"),"Held ≤ 1 year — deduction limited to cost basis. ",""))))</f>
        <v/>
      </c>
    </row>
    <row r="70" ht="18" customHeight="1">
      <c r="A70" s="22" t="n"/>
      <c r="B70" s="23" t="n"/>
      <c r="C70" s="23" t="n"/>
      <c r="D70" s="24" t="n"/>
      <c r="E70" s="25" t="n"/>
      <c r="F70" s="25" t="n"/>
      <c r="G70" s="26" t="n"/>
      <c r="H70" s="26" t="n"/>
      <c r="I70" s="27">
        <f>IF(OR(D70="",E70=""),"",IF(D70="Securities",IF(G70="N",MIN(E70,IF(F70="",E70,F70)),E70),E70))</f>
        <v/>
      </c>
      <c r="J70" s="28">
        <f>IF(E70="","",IF(TRIM(IF(AND(E70&gt;=250,H70&lt;&gt;"Y"),"Get written acknowledgment (≥ $250). ","")&amp;IF(AND(D70="Non-cash",E70&gt;5000),"Qualified appraisal required (&gt; $5,000 non-cash). ","")&amp;IF(AND(D70="Securities",G70="N"),"Held ≤ 1 year — deduction limited to cost basis. ",""))="",IF(AND(E70&gt;=250,H70="Y"),"Acknowledgment on file","—"),TRIM(IF(AND(E70&gt;=250,H70&lt;&gt;"Y"),"Get written acknowledgment (≥ $250). ","")&amp;IF(AND(D70="Non-cash",E70&gt;5000),"Qualified appraisal required (&gt; $5,000 non-cash). ","")&amp;IF(AND(D70="Securities",G70="N"),"Held ≤ 1 year — deduction limited to cost basis. ",""))))</f>
        <v/>
      </c>
    </row>
    <row r="71" ht="18" customHeight="1">
      <c r="A71" s="22" t="n"/>
      <c r="B71" s="23" t="n"/>
      <c r="C71" s="23" t="n"/>
      <c r="D71" s="24" t="n"/>
      <c r="E71" s="25" t="n"/>
      <c r="F71" s="25" t="n"/>
      <c r="G71" s="26" t="n"/>
      <c r="H71" s="26" t="n"/>
      <c r="I71" s="27">
        <f>IF(OR(D71="",E71=""),"",IF(D71="Securities",IF(G71="N",MIN(E71,IF(F71="",E71,F71)),E71),E71))</f>
        <v/>
      </c>
      <c r="J71" s="28">
        <f>IF(E71="","",IF(TRIM(IF(AND(E71&gt;=250,H71&lt;&gt;"Y"),"Get written acknowledgment (≥ $250). ","")&amp;IF(AND(D71="Non-cash",E71&gt;5000),"Qualified appraisal required (&gt; $5,000 non-cash). ","")&amp;IF(AND(D71="Securities",G71="N"),"Held ≤ 1 year — deduction limited to cost basis. ",""))="",IF(AND(E71&gt;=250,H71="Y"),"Acknowledgment on file","—"),TRIM(IF(AND(E71&gt;=250,H71&lt;&gt;"Y"),"Get written acknowledgment (≥ $250). ","")&amp;IF(AND(D71="Non-cash",E71&gt;5000),"Qualified appraisal required (&gt; $5,000 non-cash). ","")&amp;IF(AND(D71="Securities",G71="N"),"Held ≤ 1 year — deduction limited to cost basis. ",""))))</f>
        <v/>
      </c>
    </row>
    <row r="72" ht="18" customHeight="1">
      <c r="A72" s="22" t="n"/>
      <c r="B72" s="23" t="n"/>
      <c r="C72" s="23" t="n"/>
      <c r="D72" s="24" t="n"/>
      <c r="E72" s="25" t="n"/>
      <c r="F72" s="25" t="n"/>
      <c r="G72" s="26" t="n"/>
      <c r="H72" s="26" t="n"/>
      <c r="I72" s="27">
        <f>IF(OR(D72="",E72=""),"",IF(D72="Securities",IF(G72="N",MIN(E72,IF(F72="",E72,F72)),E72),E72))</f>
        <v/>
      </c>
      <c r="J72" s="28">
        <f>IF(E72="","",IF(TRIM(IF(AND(E72&gt;=250,H72&lt;&gt;"Y"),"Get written acknowledgment (≥ $250). ","")&amp;IF(AND(D72="Non-cash",E72&gt;5000),"Qualified appraisal required (&gt; $5,000 non-cash). ","")&amp;IF(AND(D72="Securities",G72="N"),"Held ≤ 1 year — deduction limited to cost basis. ",""))="",IF(AND(E72&gt;=250,H72="Y"),"Acknowledgment on file","—"),TRIM(IF(AND(E72&gt;=250,H72&lt;&gt;"Y"),"Get written acknowledgment (≥ $250). ","")&amp;IF(AND(D72="Non-cash",E72&gt;5000),"Qualified appraisal required (&gt; $5,000 non-cash). ","")&amp;IF(AND(D72="Securities",G72="N"),"Held ≤ 1 year — deduction limited to cost basis. ",""))))</f>
        <v/>
      </c>
    </row>
    <row r="73" ht="18" customHeight="1">
      <c r="A73" s="22" t="n"/>
      <c r="B73" s="23" t="n"/>
      <c r="C73" s="23" t="n"/>
      <c r="D73" s="24" t="n"/>
      <c r="E73" s="25" t="n"/>
      <c r="F73" s="25" t="n"/>
      <c r="G73" s="26" t="n"/>
      <c r="H73" s="26" t="n"/>
      <c r="I73" s="27">
        <f>IF(OR(D73="",E73=""),"",IF(D73="Securities",IF(G73="N",MIN(E73,IF(F73="",E73,F73)),E73),E73))</f>
        <v/>
      </c>
      <c r="J73" s="28">
        <f>IF(E73="","",IF(TRIM(IF(AND(E73&gt;=250,H73&lt;&gt;"Y"),"Get written acknowledgment (≥ $250). ","")&amp;IF(AND(D73="Non-cash",E73&gt;5000),"Qualified appraisal required (&gt; $5,000 non-cash). ","")&amp;IF(AND(D73="Securities",G73="N"),"Held ≤ 1 year — deduction limited to cost basis. ",""))="",IF(AND(E73&gt;=250,H73="Y"),"Acknowledgment on file","—"),TRIM(IF(AND(E73&gt;=250,H73&lt;&gt;"Y"),"Get written acknowledgment (≥ $250). ","")&amp;IF(AND(D73="Non-cash",E73&gt;5000),"Qualified appraisal required (&gt; $5,000 non-cash). ","")&amp;IF(AND(D73="Securities",G73="N"),"Held ≤ 1 year — deduction limited to cost basis. ",""))))</f>
        <v/>
      </c>
    </row>
    <row r="74" ht="18" customHeight="1">
      <c r="A74" s="22" t="n"/>
      <c r="B74" s="23" t="n"/>
      <c r="C74" s="23" t="n"/>
      <c r="D74" s="24" t="n"/>
      <c r="E74" s="25" t="n"/>
      <c r="F74" s="25" t="n"/>
      <c r="G74" s="26" t="n"/>
      <c r="H74" s="26" t="n"/>
      <c r="I74" s="27">
        <f>IF(OR(D74="",E74=""),"",IF(D74="Securities",IF(G74="N",MIN(E74,IF(F74="",E74,F74)),E74),E74))</f>
        <v/>
      </c>
      <c r="J74" s="28">
        <f>IF(E74="","",IF(TRIM(IF(AND(E74&gt;=250,H74&lt;&gt;"Y"),"Get written acknowledgment (≥ $250). ","")&amp;IF(AND(D74="Non-cash",E74&gt;5000),"Qualified appraisal required (&gt; $5,000 non-cash). ","")&amp;IF(AND(D74="Securities",G74="N"),"Held ≤ 1 year — deduction limited to cost basis. ",""))="",IF(AND(E74&gt;=250,H74="Y"),"Acknowledgment on file","—"),TRIM(IF(AND(E74&gt;=250,H74&lt;&gt;"Y"),"Get written acknowledgment (≥ $250). ","")&amp;IF(AND(D74="Non-cash",E74&gt;5000),"Qualified appraisal required (&gt; $5,000 non-cash). ","")&amp;IF(AND(D74="Securities",G74="N"),"Held ≤ 1 year — deduction limited to cost basis. ",""))))</f>
        <v/>
      </c>
    </row>
    <row r="75" ht="18" customHeight="1">
      <c r="A75" s="22" t="n"/>
      <c r="B75" s="23" t="n"/>
      <c r="C75" s="23" t="n"/>
      <c r="D75" s="24" t="n"/>
      <c r="E75" s="25" t="n"/>
      <c r="F75" s="25" t="n"/>
      <c r="G75" s="26" t="n"/>
      <c r="H75" s="26" t="n"/>
      <c r="I75" s="27">
        <f>IF(OR(D75="",E75=""),"",IF(D75="Securities",IF(G75="N",MIN(E75,IF(F75="",E75,F75)),E75),E75))</f>
        <v/>
      </c>
      <c r="J75" s="28">
        <f>IF(E75="","",IF(TRIM(IF(AND(E75&gt;=250,H75&lt;&gt;"Y"),"Get written acknowledgment (≥ $250). ","")&amp;IF(AND(D75="Non-cash",E75&gt;5000),"Qualified appraisal required (&gt; $5,000 non-cash). ","")&amp;IF(AND(D75="Securities",G75="N"),"Held ≤ 1 year — deduction limited to cost basis. ",""))="",IF(AND(E75&gt;=250,H75="Y"),"Acknowledgment on file","—"),TRIM(IF(AND(E75&gt;=250,H75&lt;&gt;"Y"),"Get written acknowledgment (≥ $250). ","")&amp;IF(AND(D75="Non-cash",E75&gt;5000),"Qualified appraisal required (&gt; $5,000 non-cash). ","")&amp;IF(AND(D75="Securities",G75="N"),"Held ≤ 1 year — deduction limited to cost basis. ",""))))</f>
        <v/>
      </c>
    </row>
    <row r="76" ht="18" customHeight="1">
      <c r="A76" s="22" t="n"/>
      <c r="B76" s="23" t="n"/>
      <c r="C76" s="23" t="n"/>
      <c r="D76" s="24" t="n"/>
      <c r="E76" s="25" t="n"/>
      <c r="F76" s="25" t="n"/>
      <c r="G76" s="26" t="n"/>
      <c r="H76" s="26" t="n"/>
      <c r="I76" s="27">
        <f>IF(OR(D76="",E76=""),"",IF(D76="Securities",IF(G76="N",MIN(E76,IF(F76="",E76,F76)),E76),E76))</f>
        <v/>
      </c>
      <c r="J76" s="28">
        <f>IF(E76="","",IF(TRIM(IF(AND(E76&gt;=250,H76&lt;&gt;"Y"),"Get written acknowledgment (≥ $250). ","")&amp;IF(AND(D76="Non-cash",E76&gt;5000),"Qualified appraisal required (&gt; $5,000 non-cash). ","")&amp;IF(AND(D76="Securities",G76="N"),"Held ≤ 1 year — deduction limited to cost basis. ",""))="",IF(AND(E76&gt;=250,H76="Y"),"Acknowledgment on file","—"),TRIM(IF(AND(E76&gt;=250,H76&lt;&gt;"Y"),"Get written acknowledgment (≥ $250). ","")&amp;IF(AND(D76="Non-cash",E76&gt;5000),"Qualified appraisal required (&gt; $5,000 non-cash). ","")&amp;IF(AND(D76="Securities",G76="N"),"Held ≤ 1 year — deduction limited to cost basis. ",""))))</f>
        <v/>
      </c>
    </row>
    <row r="77" ht="18" customHeight="1">
      <c r="A77" s="22" t="n"/>
      <c r="B77" s="23" t="n"/>
      <c r="C77" s="23" t="n"/>
      <c r="D77" s="24" t="n"/>
      <c r="E77" s="25" t="n"/>
      <c r="F77" s="25" t="n"/>
      <c r="G77" s="26" t="n"/>
      <c r="H77" s="26" t="n"/>
      <c r="I77" s="27">
        <f>IF(OR(D77="",E77=""),"",IF(D77="Securities",IF(G77="N",MIN(E77,IF(F77="",E77,F77)),E77),E77))</f>
        <v/>
      </c>
      <c r="J77" s="28">
        <f>IF(E77="","",IF(TRIM(IF(AND(E77&gt;=250,H77&lt;&gt;"Y"),"Get written acknowledgment (≥ $250). ","")&amp;IF(AND(D77="Non-cash",E77&gt;5000),"Qualified appraisal required (&gt; $5,000 non-cash). ","")&amp;IF(AND(D77="Securities",G77="N"),"Held ≤ 1 year — deduction limited to cost basis. ",""))="",IF(AND(E77&gt;=250,H77="Y"),"Acknowledgment on file","—"),TRIM(IF(AND(E77&gt;=250,H77&lt;&gt;"Y"),"Get written acknowledgment (≥ $250). ","")&amp;IF(AND(D77="Non-cash",E77&gt;5000),"Qualified appraisal required (&gt; $5,000 non-cash). ","")&amp;IF(AND(D77="Securities",G77="N"),"Held ≤ 1 year — deduction limited to cost basis. ",""))))</f>
        <v/>
      </c>
    </row>
    <row r="78" ht="18" customHeight="1">
      <c r="A78" s="22" t="n"/>
      <c r="B78" s="23" t="n"/>
      <c r="C78" s="23" t="n"/>
      <c r="D78" s="24" t="n"/>
      <c r="E78" s="25" t="n"/>
      <c r="F78" s="25" t="n"/>
      <c r="G78" s="26" t="n"/>
      <c r="H78" s="26" t="n"/>
      <c r="I78" s="27">
        <f>IF(OR(D78="",E78=""),"",IF(D78="Securities",IF(G78="N",MIN(E78,IF(F78="",E78,F78)),E78),E78))</f>
        <v/>
      </c>
      <c r="J78" s="28">
        <f>IF(E78="","",IF(TRIM(IF(AND(E78&gt;=250,H78&lt;&gt;"Y"),"Get written acknowledgment (≥ $250). ","")&amp;IF(AND(D78="Non-cash",E78&gt;5000),"Qualified appraisal required (&gt; $5,000 non-cash). ","")&amp;IF(AND(D78="Securities",G78="N"),"Held ≤ 1 year — deduction limited to cost basis. ",""))="",IF(AND(E78&gt;=250,H78="Y"),"Acknowledgment on file","—"),TRIM(IF(AND(E78&gt;=250,H78&lt;&gt;"Y"),"Get written acknowledgment (≥ $250). ","")&amp;IF(AND(D78="Non-cash",E78&gt;5000),"Qualified appraisal required (&gt; $5,000 non-cash). ","")&amp;IF(AND(D78="Securities",G78="N"),"Held ≤ 1 year — deduction limited to cost basis. ",""))))</f>
        <v/>
      </c>
    </row>
    <row r="79" ht="18" customHeight="1">
      <c r="A79" s="22" t="n"/>
      <c r="B79" s="23" t="n"/>
      <c r="C79" s="23" t="n"/>
      <c r="D79" s="24" t="n"/>
      <c r="E79" s="25" t="n"/>
      <c r="F79" s="25" t="n"/>
      <c r="G79" s="26" t="n"/>
      <c r="H79" s="26" t="n"/>
      <c r="I79" s="27">
        <f>IF(OR(D79="",E79=""),"",IF(D79="Securities",IF(G79="N",MIN(E79,IF(F79="",E79,F79)),E79),E79))</f>
        <v/>
      </c>
      <c r="J79" s="28">
        <f>IF(E79="","",IF(TRIM(IF(AND(E79&gt;=250,H79&lt;&gt;"Y"),"Get written acknowledgment (≥ $250). ","")&amp;IF(AND(D79="Non-cash",E79&gt;5000),"Qualified appraisal required (&gt; $5,000 non-cash). ","")&amp;IF(AND(D79="Securities",G79="N"),"Held ≤ 1 year — deduction limited to cost basis. ",""))="",IF(AND(E79&gt;=250,H79="Y"),"Acknowledgment on file","—"),TRIM(IF(AND(E79&gt;=250,H79&lt;&gt;"Y"),"Get written acknowledgment (≥ $250). ","")&amp;IF(AND(D79="Non-cash",E79&gt;5000),"Qualified appraisal required (&gt; $5,000 non-cash). ","")&amp;IF(AND(D79="Securities",G79="N"),"Held ≤ 1 year — deduction limited to cost basis. ",""))))</f>
        <v/>
      </c>
    </row>
    <row r="80" ht="18" customHeight="1">
      <c r="A80" s="22" t="n"/>
      <c r="B80" s="23" t="n"/>
      <c r="C80" s="23" t="n"/>
      <c r="D80" s="24" t="n"/>
      <c r="E80" s="25" t="n"/>
      <c r="F80" s="25" t="n"/>
      <c r="G80" s="26" t="n"/>
      <c r="H80" s="26" t="n"/>
      <c r="I80" s="27">
        <f>IF(OR(D80="",E80=""),"",IF(D80="Securities",IF(G80="N",MIN(E80,IF(F80="",E80,F80)),E80),E80))</f>
        <v/>
      </c>
      <c r="J80" s="28">
        <f>IF(E80="","",IF(TRIM(IF(AND(E80&gt;=250,H80&lt;&gt;"Y"),"Get written acknowledgment (≥ $250). ","")&amp;IF(AND(D80="Non-cash",E80&gt;5000),"Qualified appraisal required (&gt; $5,000 non-cash). ","")&amp;IF(AND(D80="Securities",G80="N"),"Held ≤ 1 year — deduction limited to cost basis. ",""))="",IF(AND(E80&gt;=250,H80="Y"),"Acknowledgment on file","—"),TRIM(IF(AND(E80&gt;=250,H80&lt;&gt;"Y"),"Get written acknowledgment (≥ $250). ","")&amp;IF(AND(D80="Non-cash",E80&gt;5000),"Qualified appraisal required (&gt; $5,000 non-cash). ","")&amp;IF(AND(D80="Securities",G80="N"),"Held ≤ 1 year — deduction limited to cost basis. ",""))))</f>
        <v/>
      </c>
    </row>
    <row r="81" ht="18" customHeight="1">
      <c r="A81" s="22" t="n"/>
      <c r="B81" s="23" t="n"/>
      <c r="C81" s="23" t="n"/>
      <c r="D81" s="24" t="n"/>
      <c r="E81" s="25" t="n"/>
      <c r="F81" s="25" t="n"/>
      <c r="G81" s="26" t="n"/>
      <c r="H81" s="26" t="n"/>
      <c r="I81" s="27">
        <f>IF(OR(D81="",E81=""),"",IF(D81="Securities",IF(G81="N",MIN(E81,IF(F81="",E81,F81)),E81),E81))</f>
        <v/>
      </c>
      <c r="J81" s="28">
        <f>IF(E81="","",IF(TRIM(IF(AND(E81&gt;=250,H81&lt;&gt;"Y"),"Get written acknowledgment (≥ $250). ","")&amp;IF(AND(D81="Non-cash",E81&gt;5000),"Qualified appraisal required (&gt; $5,000 non-cash). ","")&amp;IF(AND(D81="Securities",G81="N"),"Held ≤ 1 year — deduction limited to cost basis. ",""))="",IF(AND(E81&gt;=250,H81="Y"),"Acknowledgment on file","—"),TRIM(IF(AND(E81&gt;=250,H81&lt;&gt;"Y"),"Get written acknowledgment (≥ $250). ","")&amp;IF(AND(D81="Non-cash",E81&gt;5000),"Qualified appraisal required (&gt; $5,000 non-cash). ","")&amp;IF(AND(D81="Securities",G81="N"),"Held ≤ 1 year — deduction limited to cost basis. ",""))))</f>
        <v/>
      </c>
    </row>
    <row r="82" ht="18" customHeight="1">
      <c r="A82" s="22" t="n"/>
      <c r="B82" s="23" t="n"/>
      <c r="C82" s="23" t="n"/>
      <c r="D82" s="24" t="n"/>
      <c r="E82" s="25" t="n"/>
      <c r="F82" s="25" t="n"/>
      <c r="G82" s="26" t="n"/>
      <c r="H82" s="26" t="n"/>
      <c r="I82" s="27">
        <f>IF(OR(D82="",E82=""),"",IF(D82="Securities",IF(G82="N",MIN(E82,IF(F82="",E82,F82)),E82),E82))</f>
        <v/>
      </c>
      <c r="J82" s="28">
        <f>IF(E82="","",IF(TRIM(IF(AND(E82&gt;=250,H82&lt;&gt;"Y"),"Get written acknowledgment (≥ $250). ","")&amp;IF(AND(D82="Non-cash",E82&gt;5000),"Qualified appraisal required (&gt; $5,000 non-cash). ","")&amp;IF(AND(D82="Securities",G82="N"),"Held ≤ 1 year — deduction limited to cost basis. ",""))="",IF(AND(E82&gt;=250,H82="Y"),"Acknowledgment on file","—"),TRIM(IF(AND(E82&gt;=250,H82&lt;&gt;"Y"),"Get written acknowledgment (≥ $250). ","")&amp;IF(AND(D82="Non-cash",E82&gt;5000),"Qualified appraisal required (&gt; $5,000 non-cash). ","")&amp;IF(AND(D82="Securities",G82="N"),"Held ≤ 1 year — deduction limited to cost basis. ",""))))</f>
        <v/>
      </c>
    </row>
    <row r="83" ht="18" customHeight="1">
      <c r="A83" s="22" t="n"/>
      <c r="B83" s="23" t="n"/>
      <c r="C83" s="23" t="n"/>
      <c r="D83" s="24" t="n"/>
      <c r="E83" s="25" t="n"/>
      <c r="F83" s="25" t="n"/>
      <c r="G83" s="26" t="n"/>
      <c r="H83" s="26" t="n"/>
      <c r="I83" s="27">
        <f>IF(OR(D83="",E83=""),"",IF(D83="Securities",IF(G83="N",MIN(E83,IF(F83="",E83,F83)),E83),E83))</f>
        <v/>
      </c>
      <c r="J83" s="28">
        <f>IF(E83="","",IF(TRIM(IF(AND(E83&gt;=250,H83&lt;&gt;"Y"),"Get written acknowledgment (≥ $250). ","")&amp;IF(AND(D83="Non-cash",E83&gt;5000),"Qualified appraisal required (&gt; $5,000 non-cash). ","")&amp;IF(AND(D83="Securities",G83="N"),"Held ≤ 1 year — deduction limited to cost basis. ",""))="",IF(AND(E83&gt;=250,H83="Y"),"Acknowledgment on file","—"),TRIM(IF(AND(E83&gt;=250,H83&lt;&gt;"Y"),"Get written acknowledgment (≥ $250). ","")&amp;IF(AND(D83="Non-cash",E83&gt;5000),"Qualified appraisal required (&gt; $5,000 non-cash). ","")&amp;IF(AND(D83="Securities",G83="N"),"Held ≤ 1 year — deduction limited to cost basis. ",""))))</f>
        <v/>
      </c>
    </row>
    <row r="84" ht="18" customHeight="1">
      <c r="A84" s="22" t="n"/>
      <c r="B84" s="23" t="n"/>
      <c r="C84" s="23" t="n"/>
      <c r="D84" s="24" t="n"/>
      <c r="E84" s="25" t="n"/>
      <c r="F84" s="25" t="n"/>
      <c r="G84" s="26" t="n"/>
      <c r="H84" s="26" t="n"/>
      <c r="I84" s="27">
        <f>IF(OR(D84="",E84=""),"",IF(D84="Securities",IF(G84="N",MIN(E84,IF(F84="",E84,F84)),E84),E84))</f>
        <v/>
      </c>
      <c r="J84" s="28">
        <f>IF(E84="","",IF(TRIM(IF(AND(E84&gt;=250,H84&lt;&gt;"Y"),"Get written acknowledgment (≥ $250). ","")&amp;IF(AND(D84="Non-cash",E84&gt;5000),"Qualified appraisal required (&gt; $5,000 non-cash). ","")&amp;IF(AND(D84="Securities",G84="N"),"Held ≤ 1 year — deduction limited to cost basis. ",""))="",IF(AND(E84&gt;=250,H84="Y"),"Acknowledgment on file","—"),TRIM(IF(AND(E84&gt;=250,H84&lt;&gt;"Y"),"Get written acknowledgment (≥ $250). ","")&amp;IF(AND(D84="Non-cash",E84&gt;5000),"Qualified appraisal required (&gt; $5,000 non-cash). ","")&amp;IF(AND(D84="Securities",G84="N"),"Held ≤ 1 year — deduction limited to cost basis. ",""))))</f>
        <v/>
      </c>
    </row>
    <row r="85" ht="18" customHeight="1">
      <c r="A85" s="22" t="n"/>
      <c r="B85" s="23" t="n"/>
      <c r="C85" s="23" t="n"/>
      <c r="D85" s="24" t="n"/>
      <c r="E85" s="25" t="n"/>
      <c r="F85" s="25" t="n"/>
      <c r="G85" s="26" t="n"/>
      <c r="H85" s="26" t="n"/>
      <c r="I85" s="27">
        <f>IF(OR(D85="",E85=""),"",IF(D85="Securities",IF(G85="N",MIN(E85,IF(F85="",E85,F85)),E85),E85))</f>
        <v/>
      </c>
      <c r="J85" s="28">
        <f>IF(E85="","",IF(TRIM(IF(AND(E85&gt;=250,H85&lt;&gt;"Y"),"Get written acknowledgment (≥ $250). ","")&amp;IF(AND(D85="Non-cash",E85&gt;5000),"Qualified appraisal required (&gt; $5,000 non-cash). ","")&amp;IF(AND(D85="Securities",G85="N"),"Held ≤ 1 year — deduction limited to cost basis. ",""))="",IF(AND(E85&gt;=250,H85="Y"),"Acknowledgment on file","—"),TRIM(IF(AND(E85&gt;=250,H85&lt;&gt;"Y"),"Get written acknowledgment (≥ $250). ","")&amp;IF(AND(D85="Non-cash",E85&gt;5000),"Qualified appraisal required (&gt; $5,000 non-cash). ","")&amp;IF(AND(D85="Securities",G85="N"),"Held ≤ 1 year — deduction limited to cost basis. ",""))))</f>
        <v/>
      </c>
    </row>
    <row r="86" ht="18" customHeight="1">
      <c r="A86" s="22" t="n"/>
      <c r="B86" s="23" t="n"/>
      <c r="C86" s="23" t="n"/>
      <c r="D86" s="24" t="n"/>
      <c r="E86" s="25" t="n"/>
      <c r="F86" s="25" t="n"/>
      <c r="G86" s="26" t="n"/>
      <c r="H86" s="26" t="n"/>
      <c r="I86" s="27">
        <f>IF(OR(D86="",E86=""),"",IF(D86="Securities",IF(G86="N",MIN(E86,IF(F86="",E86,F86)),E86),E86))</f>
        <v/>
      </c>
      <c r="J86" s="28">
        <f>IF(E86="","",IF(TRIM(IF(AND(E86&gt;=250,H86&lt;&gt;"Y"),"Get written acknowledgment (≥ $250). ","")&amp;IF(AND(D86="Non-cash",E86&gt;5000),"Qualified appraisal required (&gt; $5,000 non-cash). ","")&amp;IF(AND(D86="Securities",G86="N"),"Held ≤ 1 year — deduction limited to cost basis. ",""))="",IF(AND(E86&gt;=250,H86="Y"),"Acknowledgment on file","—"),TRIM(IF(AND(E86&gt;=250,H86&lt;&gt;"Y"),"Get written acknowledgment (≥ $250). ","")&amp;IF(AND(D86="Non-cash",E86&gt;5000),"Qualified appraisal required (&gt; $5,000 non-cash). ","")&amp;IF(AND(D86="Securities",G86="N"),"Held ≤ 1 year — deduction limited to cost basis. ",""))))</f>
        <v/>
      </c>
    </row>
    <row r="87" ht="18" customHeight="1">
      <c r="A87" s="22" t="n"/>
      <c r="B87" s="23" t="n"/>
      <c r="C87" s="23" t="n"/>
      <c r="D87" s="24" t="n"/>
      <c r="E87" s="25" t="n"/>
      <c r="F87" s="25" t="n"/>
      <c r="G87" s="26" t="n"/>
      <c r="H87" s="26" t="n"/>
      <c r="I87" s="27">
        <f>IF(OR(D87="",E87=""),"",IF(D87="Securities",IF(G87="N",MIN(E87,IF(F87="",E87,F87)),E87),E87))</f>
        <v/>
      </c>
      <c r="J87" s="28">
        <f>IF(E87="","",IF(TRIM(IF(AND(E87&gt;=250,H87&lt;&gt;"Y"),"Get written acknowledgment (≥ $250). ","")&amp;IF(AND(D87="Non-cash",E87&gt;5000),"Qualified appraisal required (&gt; $5,000 non-cash). ","")&amp;IF(AND(D87="Securities",G87="N"),"Held ≤ 1 year — deduction limited to cost basis. ",""))="",IF(AND(E87&gt;=250,H87="Y"),"Acknowledgment on file","—"),TRIM(IF(AND(E87&gt;=250,H87&lt;&gt;"Y"),"Get written acknowledgment (≥ $250). ","")&amp;IF(AND(D87="Non-cash",E87&gt;5000),"Qualified appraisal required (&gt; $5,000 non-cash). ","")&amp;IF(AND(D87="Securities",G87="N"),"Held ≤ 1 year — deduction limited to cost basis. ",""))))</f>
        <v/>
      </c>
    </row>
    <row r="88" ht="18" customHeight="1">
      <c r="A88" s="22" t="n"/>
      <c r="B88" s="23" t="n"/>
      <c r="C88" s="23" t="n"/>
      <c r="D88" s="24" t="n"/>
      <c r="E88" s="25" t="n"/>
      <c r="F88" s="25" t="n"/>
      <c r="G88" s="26" t="n"/>
      <c r="H88" s="26" t="n"/>
      <c r="I88" s="27">
        <f>IF(OR(D88="",E88=""),"",IF(D88="Securities",IF(G88="N",MIN(E88,IF(F88="",E88,F88)),E88),E88))</f>
        <v/>
      </c>
      <c r="J88" s="28">
        <f>IF(E88="","",IF(TRIM(IF(AND(E88&gt;=250,H88&lt;&gt;"Y"),"Get written acknowledgment (≥ $250). ","")&amp;IF(AND(D88="Non-cash",E88&gt;5000),"Qualified appraisal required (&gt; $5,000 non-cash). ","")&amp;IF(AND(D88="Securities",G88="N"),"Held ≤ 1 year — deduction limited to cost basis. ",""))="",IF(AND(E88&gt;=250,H88="Y"),"Acknowledgment on file","—"),TRIM(IF(AND(E88&gt;=250,H88&lt;&gt;"Y"),"Get written acknowledgment (≥ $250). ","")&amp;IF(AND(D88="Non-cash",E88&gt;5000),"Qualified appraisal required (&gt; $5,000 non-cash). ","")&amp;IF(AND(D88="Securities",G88="N"),"Held ≤ 1 year — deduction limited to cost basis. ",""))))</f>
        <v/>
      </c>
    </row>
    <row r="89" ht="18" customHeight="1">
      <c r="A89" s="22" t="n"/>
      <c r="B89" s="23" t="n"/>
      <c r="C89" s="23" t="n"/>
      <c r="D89" s="24" t="n"/>
      <c r="E89" s="25" t="n"/>
      <c r="F89" s="25" t="n"/>
      <c r="G89" s="26" t="n"/>
      <c r="H89" s="26" t="n"/>
      <c r="I89" s="27">
        <f>IF(OR(D89="",E89=""),"",IF(D89="Securities",IF(G89="N",MIN(E89,IF(F89="",E89,F89)),E89),E89))</f>
        <v/>
      </c>
      <c r="J89" s="28">
        <f>IF(E89="","",IF(TRIM(IF(AND(E89&gt;=250,H89&lt;&gt;"Y"),"Get written acknowledgment (≥ $250). ","")&amp;IF(AND(D89="Non-cash",E89&gt;5000),"Qualified appraisal required (&gt; $5,000 non-cash). ","")&amp;IF(AND(D89="Securities",G89="N"),"Held ≤ 1 year — deduction limited to cost basis. ",""))="",IF(AND(E89&gt;=250,H89="Y"),"Acknowledgment on file","—"),TRIM(IF(AND(E89&gt;=250,H89&lt;&gt;"Y"),"Get written acknowledgment (≥ $250). ","")&amp;IF(AND(D89="Non-cash",E89&gt;5000),"Qualified appraisal required (&gt; $5,000 non-cash). ","")&amp;IF(AND(D89="Securities",G89="N"),"Held ≤ 1 year — deduction limited to cost basis. ",""))))</f>
        <v/>
      </c>
    </row>
    <row r="90" ht="18" customHeight="1">
      <c r="A90" s="22" t="n"/>
      <c r="B90" s="23" t="n"/>
      <c r="C90" s="23" t="n"/>
      <c r="D90" s="24" t="n"/>
      <c r="E90" s="25" t="n"/>
      <c r="F90" s="25" t="n"/>
      <c r="G90" s="26" t="n"/>
      <c r="H90" s="26" t="n"/>
      <c r="I90" s="27">
        <f>IF(OR(D90="",E90=""),"",IF(D90="Securities",IF(G90="N",MIN(E90,IF(F90="",E90,F90)),E90),E90))</f>
        <v/>
      </c>
      <c r="J90" s="28">
        <f>IF(E90="","",IF(TRIM(IF(AND(E90&gt;=250,H90&lt;&gt;"Y"),"Get written acknowledgment (≥ $250). ","")&amp;IF(AND(D90="Non-cash",E90&gt;5000),"Qualified appraisal required (&gt; $5,000 non-cash). ","")&amp;IF(AND(D90="Securities",G90="N"),"Held ≤ 1 year — deduction limited to cost basis. ",""))="",IF(AND(E90&gt;=250,H90="Y"),"Acknowledgment on file","—"),TRIM(IF(AND(E90&gt;=250,H90&lt;&gt;"Y"),"Get written acknowledgment (≥ $250). ","")&amp;IF(AND(D90="Non-cash",E90&gt;5000),"Qualified appraisal required (&gt; $5,000 non-cash). ","")&amp;IF(AND(D90="Securities",G90="N"),"Held ≤ 1 year — deduction limited to cost basis. ",""))))</f>
        <v/>
      </c>
    </row>
    <row r="91" ht="18" customHeight="1">
      <c r="A91" s="22" t="n"/>
      <c r="B91" s="23" t="n"/>
      <c r="C91" s="23" t="n"/>
      <c r="D91" s="24" t="n"/>
      <c r="E91" s="25" t="n"/>
      <c r="F91" s="25" t="n"/>
      <c r="G91" s="26" t="n"/>
      <c r="H91" s="26" t="n"/>
      <c r="I91" s="27">
        <f>IF(OR(D91="",E91=""),"",IF(D91="Securities",IF(G91="N",MIN(E91,IF(F91="",E91,F91)),E91),E91))</f>
        <v/>
      </c>
      <c r="J91" s="28">
        <f>IF(E91="","",IF(TRIM(IF(AND(E91&gt;=250,H91&lt;&gt;"Y"),"Get written acknowledgment (≥ $250). ","")&amp;IF(AND(D91="Non-cash",E91&gt;5000),"Qualified appraisal required (&gt; $5,000 non-cash). ","")&amp;IF(AND(D91="Securities",G91="N"),"Held ≤ 1 year — deduction limited to cost basis. ",""))="",IF(AND(E91&gt;=250,H91="Y"),"Acknowledgment on file","—"),TRIM(IF(AND(E91&gt;=250,H91&lt;&gt;"Y"),"Get written acknowledgment (≥ $250). ","")&amp;IF(AND(D91="Non-cash",E91&gt;5000),"Qualified appraisal required (&gt; $5,000 non-cash). ","")&amp;IF(AND(D91="Securities",G91="N"),"Held ≤ 1 year — deduction limited to cost basis. ",""))))</f>
        <v/>
      </c>
    </row>
    <row r="92" ht="18" customHeight="1">
      <c r="A92" s="22" t="n"/>
      <c r="B92" s="23" t="n"/>
      <c r="C92" s="23" t="n"/>
      <c r="D92" s="24" t="n"/>
      <c r="E92" s="25" t="n"/>
      <c r="F92" s="25" t="n"/>
      <c r="G92" s="26" t="n"/>
      <c r="H92" s="26" t="n"/>
      <c r="I92" s="27">
        <f>IF(OR(D92="",E92=""),"",IF(D92="Securities",IF(G92="N",MIN(E92,IF(F92="",E92,F92)),E92),E92))</f>
        <v/>
      </c>
      <c r="J92" s="28">
        <f>IF(E92="","",IF(TRIM(IF(AND(E92&gt;=250,H92&lt;&gt;"Y"),"Get written acknowledgment (≥ $250). ","")&amp;IF(AND(D92="Non-cash",E92&gt;5000),"Qualified appraisal required (&gt; $5,000 non-cash). ","")&amp;IF(AND(D92="Securities",G92="N"),"Held ≤ 1 year — deduction limited to cost basis. ",""))="",IF(AND(E92&gt;=250,H92="Y"),"Acknowledgment on file","—"),TRIM(IF(AND(E92&gt;=250,H92&lt;&gt;"Y"),"Get written acknowledgment (≥ $250). ","")&amp;IF(AND(D92="Non-cash",E92&gt;5000),"Qualified appraisal required (&gt; $5,000 non-cash). ","")&amp;IF(AND(D92="Securities",G92="N"),"Held ≤ 1 year — deduction limited to cost basis. ",""))))</f>
        <v/>
      </c>
    </row>
    <row r="93" ht="18" customHeight="1">
      <c r="A93" s="22" t="n"/>
      <c r="B93" s="23" t="n"/>
      <c r="C93" s="23" t="n"/>
      <c r="D93" s="24" t="n"/>
      <c r="E93" s="25" t="n"/>
      <c r="F93" s="25" t="n"/>
      <c r="G93" s="26" t="n"/>
      <c r="H93" s="26" t="n"/>
      <c r="I93" s="27">
        <f>IF(OR(D93="",E93=""),"",IF(D93="Securities",IF(G93="N",MIN(E93,IF(F93="",E93,F93)),E93),E93))</f>
        <v/>
      </c>
      <c r="J93" s="28">
        <f>IF(E93="","",IF(TRIM(IF(AND(E93&gt;=250,H93&lt;&gt;"Y"),"Get written acknowledgment (≥ $250). ","")&amp;IF(AND(D93="Non-cash",E93&gt;5000),"Qualified appraisal required (&gt; $5,000 non-cash). ","")&amp;IF(AND(D93="Securities",G93="N"),"Held ≤ 1 year — deduction limited to cost basis. ",""))="",IF(AND(E93&gt;=250,H93="Y"),"Acknowledgment on file","—"),TRIM(IF(AND(E93&gt;=250,H93&lt;&gt;"Y"),"Get written acknowledgment (≥ $250). ","")&amp;IF(AND(D93="Non-cash",E93&gt;5000),"Qualified appraisal required (&gt; $5,000 non-cash). ","")&amp;IF(AND(D93="Securities",G93="N"),"Held ≤ 1 year — deduction limited to cost basis. ",""))))</f>
        <v/>
      </c>
    </row>
    <row r="94" ht="18" customHeight="1">
      <c r="A94" s="22" t="n"/>
      <c r="B94" s="23" t="n"/>
      <c r="C94" s="23" t="n"/>
      <c r="D94" s="24" t="n"/>
      <c r="E94" s="25" t="n"/>
      <c r="F94" s="25" t="n"/>
      <c r="G94" s="26" t="n"/>
      <c r="H94" s="26" t="n"/>
      <c r="I94" s="27">
        <f>IF(OR(D94="",E94=""),"",IF(D94="Securities",IF(G94="N",MIN(E94,IF(F94="",E94,F94)),E94),E94))</f>
        <v/>
      </c>
      <c r="J94" s="28">
        <f>IF(E94="","",IF(TRIM(IF(AND(E94&gt;=250,H94&lt;&gt;"Y"),"Get written acknowledgment (≥ $250). ","")&amp;IF(AND(D94="Non-cash",E94&gt;5000),"Qualified appraisal required (&gt; $5,000 non-cash). ","")&amp;IF(AND(D94="Securities",G94="N"),"Held ≤ 1 year — deduction limited to cost basis. ",""))="",IF(AND(E94&gt;=250,H94="Y"),"Acknowledgment on file","—"),TRIM(IF(AND(E94&gt;=250,H94&lt;&gt;"Y"),"Get written acknowledgment (≥ $250). ","")&amp;IF(AND(D94="Non-cash",E94&gt;5000),"Qualified appraisal required (&gt; $5,000 non-cash). ","")&amp;IF(AND(D94="Securities",G94="N"),"Held ≤ 1 year — deduction limited to cost basis. ",""))))</f>
        <v/>
      </c>
    </row>
    <row r="95" ht="18" customHeight="1">
      <c r="A95" s="22" t="n"/>
      <c r="B95" s="23" t="n"/>
      <c r="C95" s="23" t="n"/>
      <c r="D95" s="24" t="n"/>
      <c r="E95" s="25" t="n"/>
      <c r="F95" s="25" t="n"/>
      <c r="G95" s="26" t="n"/>
      <c r="H95" s="26" t="n"/>
      <c r="I95" s="27">
        <f>IF(OR(D95="",E95=""),"",IF(D95="Securities",IF(G95="N",MIN(E95,IF(F95="",E95,F95)),E95),E95))</f>
        <v/>
      </c>
      <c r="J95" s="28">
        <f>IF(E95="","",IF(TRIM(IF(AND(E95&gt;=250,H95&lt;&gt;"Y"),"Get written acknowledgment (≥ $250). ","")&amp;IF(AND(D95="Non-cash",E95&gt;5000),"Qualified appraisal required (&gt; $5,000 non-cash). ","")&amp;IF(AND(D95="Securities",G95="N"),"Held ≤ 1 year — deduction limited to cost basis. ",""))="",IF(AND(E95&gt;=250,H95="Y"),"Acknowledgment on file","—"),TRIM(IF(AND(E95&gt;=250,H95&lt;&gt;"Y"),"Get written acknowledgment (≥ $250). ","")&amp;IF(AND(D95="Non-cash",E95&gt;5000),"Qualified appraisal required (&gt; $5,000 non-cash). ","")&amp;IF(AND(D95="Securities",G95="N"),"Held ≤ 1 year — deduction limited to cost basis. ",""))))</f>
        <v/>
      </c>
    </row>
    <row r="96" ht="18" customHeight="1">
      <c r="A96" s="22" t="n"/>
      <c r="B96" s="23" t="n"/>
      <c r="C96" s="23" t="n"/>
      <c r="D96" s="24" t="n"/>
      <c r="E96" s="25" t="n"/>
      <c r="F96" s="25" t="n"/>
      <c r="G96" s="26" t="n"/>
      <c r="H96" s="26" t="n"/>
      <c r="I96" s="27">
        <f>IF(OR(D96="",E96=""),"",IF(D96="Securities",IF(G96="N",MIN(E96,IF(F96="",E96,F96)),E96),E96))</f>
        <v/>
      </c>
      <c r="J96" s="28">
        <f>IF(E96="","",IF(TRIM(IF(AND(E96&gt;=250,H96&lt;&gt;"Y"),"Get written acknowledgment (≥ $250). ","")&amp;IF(AND(D96="Non-cash",E96&gt;5000),"Qualified appraisal required (&gt; $5,000 non-cash). ","")&amp;IF(AND(D96="Securities",G96="N"),"Held ≤ 1 year — deduction limited to cost basis. ",""))="",IF(AND(E96&gt;=250,H96="Y"),"Acknowledgment on file","—"),TRIM(IF(AND(E96&gt;=250,H96&lt;&gt;"Y"),"Get written acknowledgment (≥ $250). ","")&amp;IF(AND(D96="Non-cash",E96&gt;5000),"Qualified appraisal required (&gt; $5,000 non-cash). ","")&amp;IF(AND(D96="Securities",G96="N"),"Held ≤ 1 year — deduction limited to cost basis. ",""))))</f>
        <v/>
      </c>
    </row>
    <row r="97" ht="18" customHeight="1">
      <c r="A97" s="22" t="n"/>
      <c r="B97" s="23" t="n"/>
      <c r="C97" s="23" t="n"/>
      <c r="D97" s="24" t="n"/>
      <c r="E97" s="25" t="n"/>
      <c r="F97" s="25" t="n"/>
      <c r="G97" s="26" t="n"/>
      <c r="H97" s="26" t="n"/>
      <c r="I97" s="27">
        <f>IF(OR(D97="",E97=""),"",IF(D97="Securities",IF(G97="N",MIN(E97,IF(F97="",E97,F97)),E97),E97))</f>
        <v/>
      </c>
      <c r="J97" s="28">
        <f>IF(E97="","",IF(TRIM(IF(AND(E97&gt;=250,H97&lt;&gt;"Y"),"Get written acknowledgment (≥ $250). ","")&amp;IF(AND(D97="Non-cash",E97&gt;5000),"Qualified appraisal required (&gt; $5,000 non-cash). ","")&amp;IF(AND(D97="Securities",G97="N"),"Held ≤ 1 year — deduction limited to cost basis. ",""))="",IF(AND(E97&gt;=250,H97="Y"),"Acknowledgment on file","—"),TRIM(IF(AND(E97&gt;=250,H97&lt;&gt;"Y"),"Get written acknowledgment (≥ $250). ","")&amp;IF(AND(D97="Non-cash",E97&gt;5000),"Qualified appraisal required (&gt; $5,000 non-cash). ","")&amp;IF(AND(D97="Securities",G97="N"),"Held ≤ 1 year — deduction limited to cost basis. ",""))))</f>
        <v/>
      </c>
    </row>
    <row r="98" ht="18" customHeight="1">
      <c r="A98" s="22" t="n"/>
      <c r="B98" s="23" t="n"/>
      <c r="C98" s="23" t="n"/>
      <c r="D98" s="24" t="n"/>
      <c r="E98" s="25" t="n"/>
      <c r="F98" s="25" t="n"/>
      <c r="G98" s="26" t="n"/>
      <c r="H98" s="26" t="n"/>
      <c r="I98" s="27">
        <f>IF(OR(D98="",E98=""),"",IF(D98="Securities",IF(G98="N",MIN(E98,IF(F98="",E98,F98)),E98),E98))</f>
        <v/>
      </c>
      <c r="J98" s="28">
        <f>IF(E98="","",IF(TRIM(IF(AND(E98&gt;=250,H98&lt;&gt;"Y"),"Get written acknowledgment (≥ $250). ","")&amp;IF(AND(D98="Non-cash",E98&gt;5000),"Qualified appraisal required (&gt; $5,000 non-cash). ","")&amp;IF(AND(D98="Securities",G98="N"),"Held ≤ 1 year — deduction limited to cost basis. ",""))="",IF(AND(E98&gt;=250,H98="Y"),"Acknowledgment on file","—"),TRIM(IF(AND(E98&gt;=250,H98&lt;&gt;"Y"),"Get written acknowledgment (≥ $250). ","")&amp;IF(AND(D98="Non-cash",E98&gt;5000),"Qualified appraisal required (&gt; $5,000 non-cash). ","")&amp;IF(AND(D98="Securities",G98="N"),"Held ≤ 1 year — deduction limited to cost basis. ",""))))</f>
        <v/>
      </c>
    </row>
    <row r="99" ht="18" customHeight="1">
      <c r="A99" s="22" t="n"/>
      <c r="B99" s="23" t="n"/>
      <c r="C99" s="23" t="n"/>
      <c r="D99" s="24" t="n"/>
      <c r="E99" s="25" t="n"/>
      <c r="F99" s="25" t="n"/>
      <c r="G99" s="26" t="n"/>
      <c r="H99" s="26" t="n"/>
      <c r="I99" s="27">
        <f>IF(OR(D99="",E99=""),"",IF(D99="Securities",IF(G99="N",MIN(E99,IF(F99="",E99,F99)),E99),E99))</f>
        <v/>
      </c>
      <c r="J99" s="28">
        <f>IF(E99="","",IF(TRIM(IF(AND(E99&gt;=250,H99&lt;&gt;"Y"),"Get written acknowledgment (≥ $250). ","")&amp;IF(AND(D99="Non-cash",E99&gt;5000),"Qualified appraisal required (&gt; $5,000 non-cash). ","")&amp;IF(AND(D99="Securities",G99="N"),"Held ≤ 1 year — deduction limited to cost basis. ",""))="",IF(AND(E99&gt;=250,H99="Y"),"Acknowledgment on file","—"),TRIM(IF(AND(E99&gt;=250,H99&lt;&gt;"Y"),"Get written acknowledgment (≥ $250). ","")&amp;IF(AND(D99="Non-cash",E99&gt;5000),"Qualified appraisal required (&gt; $5,000 non-cash). ","")&amp;IF(AND(D99="Securities",G99="N"),"Held ≤ 1 year — deduction limited to cost basis. ",""))))</f>
        <v/>
      </c>
    </row>
    <row r="100" ht="18" customHeight="1">
      <c r="A100" s="22" t="n"/>
      <c r="B100" s="23" t="n"/>
      <c r="C100" s="23" t="n"/>
      <c r="D100" s="24" t="n"/>
      <c r="E100" s="25" t="n"/>
      <c r="F100" s="25" t="n"/>
      <c r="G100" s="26" t="n"/>
      <c r="H100" s="26" t="n"/>
      <c r="I100" s="27">
        <f>IF(OR(D100="",E100=""),"",IF(D100="Securities",IF(G100="N",MIN(E100,IF(F100="",E100,F100)),E100),E100))</f>
        <v/>
      </c>
      <c r="J100" s="28">
        <f>IF(E100="","",IF(TRIM(IF(AND(E100&gt;=250,H100&lt;&gt;"Y"),"Get written acknowledgment (≥ $250). ","")&amp;IF(AND(D100="Non-cash",E100&gt;5000),"Qualified appraisal required (&gt; $5,000 non-cash). ","")&amp;IF(AND(D100="Securities",G100="N"),"Held ≤ 1 year — deduction limited to cost basis. ",""))="",IF(AND(E100&gt;=250,H100="Y"),"Acknowledgment on file","—"),TRIM(IF(AND(E100&gt;=250,H100&lt;&gt;"Y"),"Get written acknowledgment (≥ $250). ","")&amp;IF(AND(D100="Non-cash",E100&gt;5000),"Qualified appraisal required (&gt; $5,000 non-cash). ","")&amp;IF(AND(D100="Securities",G100="N"),"Held ≤ 1 year — deduction limited to cost basis. ",""))))</f>
        <v/>
      </c>
    </row>
    <row r="101" ht="18" customHeight="1">
      <c r="A101" s="22" t="n"/>
      <c r="B101" s="23" t="n"/>
      <c r="C101" s="23" t="n"/>
      <c r="D101" s="24" t="n"/>
      <c r="E101" s="25" t="n"/>
      <c r="F101" s="25" t="n"/>
      <c r="G101" s="26" t="n"/>
      <c r="H101" s="26" t="n"/>
      <c r="I101" s="27">
        <f>IF(OR(D101="",E101=""),"",IF(D101="Securities",IF(G101="N",MIN(E101,IF(F101="",E101,F101)),E101),E101))</f>
        <v/>
      </c>
      <c r="J101" s="28">
        <f>IF(E101="","",IF(TRIM(IF(AND(E101&gt;=250,H101&lt;&gt;"Y"),"Get written acknowledgment (≥ $250). ","")&amp;IF(AND(D101="Non-cash",E101&gt;5000),"Qualified appraisal required (&gt; $5,000 non-cash). ","")&amp;IF(AND(D101="Securities",G101="N"),"Held ≤ 1 year — deduction limited to cost basis. ",""))="",IF(AND(E101&gt;=250,H101="Y"),"Acknowledgment on file","—"),TRIM(IF(AND(E101&gt;=250,H101&lt;&gt;"Y"),"Get written acknowledgment (≥ $250). ","")&amp;IF(AND(D101="Non-cash",E101&gt;5000),"Qualified appraisal required (&gt; $5,000 non-cash). ","")&amp;IF(AND(D101="Securities",G101="N"),"Held ≤ 1 year — deduction limited to cost basis. ",""))))</f>
        <v/>
      </c>
    </row>
    <row r="102" ht="18" customHeight="1">
      <c r="A102" s="22" t="n"/>
      <c r="B102" s="23" t="n"/>
      <c r="C102" s="23" t="n"/>
      <c r="D102" s="24" t="n"/>
      <c r="E102" s="25" t="n"/>
      <c r="F102" s="25" t="n"/>
      <c r="G102" s="26" t="n"/>
      <c r="H102" s="26" t="n"/>
      <c r="I102" s="27">
        <f>IF(OR(D102="",E102=""),"",IF(D102="Securities",IF(G102="N",MIN(E102,IF(F102="",E102,F102)),E102),E102))</f>
        <v/>
      </c>
      <c r="J102" s="28">
        <f>IF(E102="","",IF(TRIM(IF(AND(E102&gt;=250,H102&lt;&gt;"Y"),"Get written acknowledgment (≥ $250). ","")&amp;IF(AND(D102="Non-cash",E102&gt;5000),"Qualified appraisal required (&gt; $5,000 non-cash). ","")&amp;IF(AND(D102="Securities",G102="N"),"Held ≤ 1 year — deduction limited to cost basis. ",""))="",IF(AND(E102&gt;=250,H102="Y"),"Acknowledgment on file","—"),TRIM(IF(AND(E102&gt;=250,H102&lt;&gt;"Y"),"Get written acknowledgment (≥ $250). ","")&amp;IF(AND(D102="Non-cash",E102&gt;5000),"Qualified appraisal required (&gt; $5,000 non-cash). ","")&amp;IF(AND(D102="Securities",G102="N"),"Held ≤ 1 year — deduction limited to cost basis. ",""))))</f>
        <v/>
      </c>
    </row>
    <row r="103" ht="18" customHeight="1">
      <c r="A103" s="22" t="n"/>
      <c r="B103" s="23" t="n"/>
      <c r="C103" s="23" t="n"/>
      <c r="D103" s="24" t="n"/>
      <c r="E103" s="25" t="n"/>
      <c r="F103" s="25" t="n"/>
      <c r="G103" s="26" t="n"/>
      <c r="H103" s="26" t="n"/>
      <c r="I103" s="27">
        <f>IF(OR(D103="",E103=""),"",IF(D103="Securities",IF(G103="N",MIN(E103,IF(F103="",E103,F103)),E103),E103))</f>
        <v/>
      </c>
      <c r="J103" s="28">
        <f>IF(E103="","",IF(TRIM(IF(AND(E103&gt;=250,H103&lt;&gt;"Y"),"Get written acknowledgment (≥ $250). ","")&amp;IF(AND(D103="Non-cash",E103&gt;5000),"Qualified appraisal required (&gt; $5,000 non-cash). ","")&amp;IF(AND(D103="Securities",G103="N"),"Held ≤ 1 year — deduction limited to cost basis. ",""))="",IF(AND(E103&gt;=250,H103="Y"),"Acknowledgment on file","—"),TRIM(IF(AND(E103&gt;=250,H103&lt;&gt;"Y"),"Get written acknowledgment (≥ $250). ","")&amp;IF(AND(D103="Non-cash",E103&gt;5000),"Qualified appraisal required (&gt; $5,000 non-cash). ","")&amp;IF(AND(D103="Securities",G103="N"),"Held ≤ 1 year — deduction limited to cost basis. ",""))))</f>
        <v/>
      </c>
    </row>
    <row r="104" ht="18" customHeight="1">
      <c r="A104" s="22" t="n"/>
      <c r="B104" s="23" t="n"/>
      <c r="C104" s="23" t="n"/>
      <c r="D104" s="24" t="n"/>
      <c r="E104" s="25" t="n"/>
      <c r="F104" s="25" t="n"/>
      <c r="G104" s="26" t="n"/>
      <c r="H104" s="26" t="n"/>
      <c r="I104" s="27">
        <f>IF(OR(D104="",E104=""),"",IF(D104="Securities",IF(G104="N",MIN(E104,IF(F104="",E104,F104)),E104),E104))</f>
        <v/>
      </c>
      <c r="J104" s="28">
        <f>IF(E104="","",IF(TRIM(IF(AND(E104&gt;=250,H104&lt;&gt;"Y"),"Get written acknowledgment (≥ $250). ","")&amp;IF(AND(D104="Non-cash",E104&gt;5000),"Qualified appraisal required (&gt; $5,000 non-cash). ","")&amp;IF(AND(D104="Securities",G104="N"),"Held ≤ 1 year — deduction limited to cost basis. ",""))="",IF(AND(E104&gt;=250,H104="Y"),"Acknowledgment on file","—"),TRIM(IF(AND(E104&gt;=250,H104&lt;&gt;"Y"),"Get written acknowledgment (≥ $250). ","")&amp;IF(AND(D104="Non-cash",E104&gt;5000),"Qualified appraisal required (&gt; $5,000 non-cash). ","")&amp;IF(AND(D104="Securities",G104="N"),"Held ≤ 1 year — deduction limited to cost basis. ",""))))</f>
        <v/>
      </c>
    </row>
    <row r="105" ht="18" customHeight="1">
      <c r="A105" s="22" t="n"/>
      <c r="B105" s="23" t="n"/>
      <c r="C105" s="23" t="n"/>
      <c r="D105" s="24" t="n"/>
      <c r="E105" s="25" t="n"/>
      <c r="F105" s="25" t="n"/>
      <c r="G105" s="26" t="n"/>
      <c r="H105" s="26" t="n"/>
      <c r="I105" s="27">
        <f>IF(OR(D105="",E105=""),"",IF(D105="Securities",IF(G105="N",MIN(E105,IF(F105="",E105,F105)),E105),E105))</f>
        <v/>
      </c>
      <c r="J105" s="28">
        <f>IF(E105="","",IF(TRIM(IF(AND(E105&gt;=250,H105&lt;&gt;"Y"),"Get written acknowledgment (≥ $250). ","")&amp;IF(AND(D105="Non-cash",E105&gt;5000),"Qualified appraisal required (&gt; $5,000 non-cash). ","")&amp;IF(AND(D105="Securities",G105="N"),"Held ≤ 1 year — deduction limited to cost basis. ",""))="",IF(AND(E105&gt;=250,H105="Y"),"Acknowledgment on file","—"),TRIM(IF(AND(E105&gt;=250,H105&lt;&gt;"Y"),"Get written acknowledgment (≥ $250). ","")&amp;IF(AND(D105="Non-cash",E105&gt;5000),"Qualified appraisal required (&gt; $5,000 non-cash). ","")&amp;IF(AND(D105="Securities",G105="N"),"Held ≤ 1 year — deduction limited to cost basis. ",""))))</f>
        <v/>
      </c>
    </row>
    <row r="106" ht="18" customHeight="1">
      <c r="A106" s="22" t="n"/>
      <c r="B106" s="23" t="n"/>
      <c r="C106" s="23" t="n"/>
      <c r="D106" s="24" t="n"/>
      <c r="E106" s="25" t="n"/>
      <c r="F106" s="25" t="n"/>
      <c r="G106" s="26" t="n"/>
      <c r="H106" s="26" t="n"/>
      <c r="I106" s="27">
        <f>IF(OR(D106="",E106=""),"",IF(D106="Securities",IF(G106="N",MIN(E106,IF(F106="",E106,F106)),E106),E106))</f>
        <v/>
      </c>
      <c r="J106" s="28">
        <f>IF(E106="","",IF(TRIM(IF(AND(E106&gt;=250,H106&lt;&gt;"Y"),"Get written acknowledgment (≥ $250). ","")&amp;IF(AND(D106="Non-cash",E106&gt;5000),"Qualified appraisal required (&gt; $5,000 non-cash). ","")&amp;IF(AND(D106="Securities",G106="N"),"Held ≤ 1 year — deduction limited to cost basis. ",""))="",IF(AND(E106&gt;=250,H106="Y"),"Acknowledgment on file","—"),TRIM(IF(AND(E106&gt;=250,H106&lt;&gt;"Y"),"Get written acknowledgment (≥ $250). ","")&amp;IF(AND(D106="Non-cash",E106&gt;5000),"Qualified appraisal required (&gt; $5,000 non-cash). ","")&amp;IF(AND(D106="Securities",G106="N"),"Held ≤ 1 year — deduction limited to cost basis. ",""))))</f>
        <v/>
      </c>
    </row>
    <row r="107" ht="18" customHeight="1">
      <c r="A107" s="22" t="n"/>
      <c r="B107" s="23" t="n"/>
      <c r="C107" s="23" t="n"/>
      <c r="D107" s="24" t="n"/>
      <c r="E107" s="25" t="n"/>
      <c r="F107" s="25" t="n"/>
      <c r="G107" s="26" t="n"/>
      <c r="H107" s="26" t="n"/>
      <c r="I107" s="27">
        <f>IF(OR(D107="",E107=""),"",IF(D107="Securities",IF(G107="N",MIN(E107,IF(F107="",E107,F107)),E107),E107))</f>
        <v/>
      </c>
      <c r="J107" s="28">
        <f>IF(E107="","",IF(TRIM(IF(AND(E107&gt;=250,H107&lt;&gt;"Y"),"Get written acknowledgment (≥ $250). ","")&amp;IF(AND(D107="Non-cash",E107&gt;5000),"Qualified appraisal required (&gt; $5,000 non-cash). ","")&amp;IF(AND(D107="Securities",G107="N"),"Held ≤ 1 year — deduction limited to cost basis. ",""))="",IF(AND(E107&gt;=250,H107="Y"),"Acknowledgment on file","—"),TRIM(IF(AND(E107&gt;=250,H107&lt;&gt;"Y"),"Get written acknowledgment (≥ $250). ","")&amp;IF(AND(D107="Non-cash",E107&gt;5000),"Qualified appraisal required (&gt; $5,000 non-cash). ","")&amp;IF(AND(D107="Securities",G107="N"),"Held ≤ 1 year — deduction limited to cost basis. ",""))))</f>
        <v/>
      </c>
    </row>
    <row r="108" ht="18" customHeight="1">
      <c r="A108" s="22" t="n"/>
      <c r="B108" s="23" t="n"/>
      <c r="C108" s="23" t="n"/>
      <c r="D108" s="24" t="n"/>
      <c r="E108" s="25" t="n"/>
      <c r="F108" s="25" t="n"/>
      <c r="G108" s="26" t="n"/>
      <c r="H108" s="26" t="n"/>
      <c r="I108" s="27">
        <f>IF(OR(D108="",E108=""),"",IF(D108="Securities",IF(G108="N",MIN(E108,IF(F108="",E108,F108)),E108),E108))</f>
        <v/>
      </c>
      <c r="J108" s="28">
        <f>IF(E108="","",IF(TRIM(IF(AND(E108&gt;=250,H108&lt;&gt;"Y"),"Get written acknowledgment (≥ $250). ","")&amp;IF(AND(D108="Non-cash",E108&gt;5000),"Qualified appraisal required (&gt; $5,000 non-cash). ","")&amp;IF(AND(D108="Securities",G108="N"),"Held ≤ 1 year — deduction limited to cost basis. ",""))="",IF(AND(E108&gt;=250,H108="Y"),"Acknowledgment on file","—"),TRIM(IF(AND(E108&gt;=250,H108&lt;&gt;"Y"),"Get written acknowledgment (≥ $250). ","")&amp;IF(AND(D108="Non-cash",E108&gt;5000),"Qualified appraisal required (&gt; $5,000 non-cash). ","")&amp;IF(AND(D108="Securities",G108="N"),"Held ≤ 1 year — deduction limited to cost basis. ",""))))</f>
        <v/>
      </c>
    </row>
    <row r="109" ht="18" customHeight="1">
      <c r="A109" s="22" t="n"/>
      <c r="B109" s="23" t="n"/>
      <c r="C109" s="23" t="n"/>
      <c r="D109" s="24" t="n"/>
      <c r="E109" s="25" t="n"/>
      <c r="F109" s="25" t="n"/>
      <c r="G109" s="26" t="n"/>
      <c r="H109" s="26" t="n"/>
      <c r="I109" s="27">
        <f>IF(OR(D109="",E109=""),"",IF(D109="Securities",IF(G109="N",MIN(E109,IF(F109="",E109,F109)),E109),E109))</f>
        <v/>
      </c>
      <c r="J109" s="28">
        <f>IF(E109="","",IF(TRIM(IF(AND(E109&gt;=250,H109&lt;&gt;"Y"),"Get written acknowledgment (≥ $250). ","")&amp;IF(AND(D109="Non-cash",E109&gt;5000),"Qualified appraisal required (&gt; $5,000 non-cash). ","")&amp;IF(AND(D109="Securities",G109="N"),"Held ≤ 1 year — deduction limited to cost basis. ",""))="",IF(AND(E109&gt;=250,H109="Y"),"Acknowledgment on file","—"),TRIM(IF(AND(E109&gt;=250,H109&lt;&gt;"Y"),"Get written acknowledgment (≥ $250). ","")&amp;IF(AND(D109="Non-cash",E109&gt;5000),"Qualified appraisal required (&gt; $5,000 non-cash). ","")&amp;IF(AND(D109="Securities",G109="N"),"Held ≤ 1 year — deduction limited to cost basis. ",""))))</f>
        <v/>
      </c>
    </row>
    <row r="110" ht="18" customHeight="1">
      <c r="A110" s="22" t="n"/>
      <c r="B110" s="23" t="n"/>
      <c r="C110" s="23" t="n"/>
      <c r="D110" s="24" t="n"/>
      <c r="E110" s="25" t="n"/>
      <c r="F110" s="25" t="n"/>
      <c r="G110" s="26" t="n"/>
      <c r="H110" s="26" t="n"/>
      <c r="I110" s="27">
        <f>IF(OR(D110="",E110=""),"",IF(D110="Securities",IF(G110="N",MIN(E110,IF(F110="",E110,F110)),E110),E110))</f>
        <v/>
      </c>
      <c r="J110" s="28">
        <f>IF(E110="","",IF(TRIM(IF(AND(E110&gt;=250,H110&lt;&gt;"Y"),"Get written acknowledgment (≥ $250). ","")&amp;IF(AND(D110="Non-cash",E110&gt;5000),"Qualified appraisal required (&gt; $5,000 non-cash). ","")&amp;IF(AND(D110="Securities",G110="N"),"Held ≤ 1 year — deduction limited to cost basis. ",""))="",IF(AND(E110&gt;=250,H110="Y"),"Acknowledgment on file","—"),TRIM(IF(AND(E110&gt;=250,H110&lt;&gt;"Y"),"Get written acknowledgment (≥ $250). ","")&amp;IF(AND(D110="Non-cash",E110&gt;5000),"Qualified appraisal required (&gt; $5,000 non-cash). ","")&amp;IF(AND(D110="Securities",G110="N"),"Held ≤ 1 year — deduction limited to cost basis. ",""))))</f>
        <v/>
      </c>
    </row>
    <row r="111" ht="18" customHeight="1">
      <c r="A111" s="22" t="n"/>
      <c r="B111" s="23" t="n"/>
      <c r="C111" s="23" t="n"/>
      <c r="D111" s="24" t="n"/>
      <c r="E111" s="25" t="n"/>
      <c r="F111" s="25" t="n"/>
      <c r="G111" s="26" t="n"/>
      <c r="H111" s="26" t="n"/>
      <c r="I111" s="27">
        <f>IF(OR(D111="",E111=""),"",IF(D111="Securities",IF(G111="N",MIN(E111,IF(F111="",E111,F111)),E111),E111))</f>
        <v/>
      </c>
      <c r="J111" s="28">
        <f>IF(E111="","",IF(TRIM(IF(AND(E111&gt;=250,H111&lt;&gt;"Y"),"Get written acknowledgment (≥ $250). ","")&amp;IF(AND(D111="Non-cash",E111&gt;5000),"Qualified appraisal required (&gt; $5,000 non-cash). ","")&amp;IF(AND(D111="Securities",G111="N"),"Held ≤ 1 year — deduction limited to cost basis. ",""))="",IF(AND(E111&gt;=250,H111="Y"),"Acknowledgment on file","—"),TRIM(IF(AND(E111&gt;=250,H111&lt;&gt;"Y"),"Get written acknowledgment (≥ $250). ","")&amp;IF(AND(D111="Non-cash",E111&gt;5000),"Qualified appraisal required (&gt; $5,000 non-cash). ","")&amp;IF(AND(D111="Securities",G111="N"),"Held ≤ 1 year — deduction limited to cost basis. ",""))))</f>
        <v/>
      </c>
    </row>
    <row r="112" ht="18" customHeight="1">
      <c r="A112" s="22" t="n"/>
      <c r="B112" s="23" t="n"/>
      <c r="C112" s="23" t="n"/>
      <c r="D112" s="24" t="n"/>
      <c r="E112" s="25" t="n"/>
      <c r="F112" s="25" t="n"/>
      <c r="G112" s="26" t="n"/>
      <c r="H112" s="26" t="n"/>
      <c r="I112" s="27">
        <f>IF(OR(D112="",E112=""),"",IF(D112="Securities",IF(G112="N",MIN(E112,IF(F112="",E112,F112)),E112),E112))</f>
        <v/>
      </c>
      <c r="J112" s="28">
        <f>IF(E112="","",IF(TRIM(IF(AND(E112&gt;=250,H112&lt;&gt;"Y"),"Get written acknowledgment (≥ $250). ","")&amp;IF(AND(D112="Non-cash",E112&gt;5000),"Qualified appraisal required (&gt; $5,000 non-cash). ","")&amp;IF(AND(D112="Securities",G112="N"),"Held ≤ 1 year — deduction limited to cost basis. ",""))="",IF(AND(E112&gt;=250,H112="Y"),"Acknowledgment on file","—"),TRIM(IF(AND(E112&gt;=250,H112&lt;&gt;"Y"),"Get written acknowledgment (≥ $250). ","")&amp;IF(AND(D112="Non-cash",E112&gt;5000),"Qualified appraisal required (&gt; $5,000 non-cash). ","")&amp;IF(AND(D112="Securities",G112="N"),"Held ≤ 1 year — deduction limited to cost basis. ",""))))</f>
        <v/>
      </c>
    </row>
    <row r="113" ht="18" customHeight="1">
      <c r="A113" s="22" t="n"/>
      <c r="B113" s="23" t="n"/>
      <c r="C113" s="23" t="n"/>
      <c r="D113" s="24" t="n"/>
      <c r="E113" s="25" t="n"/>
      <c r="F113" s="25" t="n"/>
      <c r="G113" s="26" t="n"/>
      <c r="H113" s="26" t="n"/>
      <c r="I113" s="27">
        <f>IF(OR(D113="",E113=""),"",IF(D113="Securities",IF(G113="N",MIN(E113,IF(F113="",E113,F113)),E113),E113))</f>
        <v/>
      </c>
      <c r="J113" s="28">
        <f>IF(E113="","",IF(TRIM(IF(AND(E113&gt;=250,H113&lt;&gt;"Y"),"Get written acknowledgment (≥ $250). ","")&amp;IF(AND(D113="Non-cash",E113&gt;5000),"Qualified appraisal required (&gt; $5,000 non-cash). ","")&amp;IF(AND(D113="Securities",G113="N"),"Held ≤ 1 year — deduction limited to cost basis. ",""))="",IF(AND(E113&gt;=250,H113="Y"),"Acknowledgment on file","—"),TRIM(IF(AND(E113&gt;=250,H113&lt;&gt;"Y"),"Get written acknowledgment (≥ $250). ","")&amp;IF(AND(D113="Non-cash",E113&gt;5000),"Qualified appraisal required (&gt; $5,000 non-cash). ","")&amp;IF(AND(D113="Securities",G113="N"),"Held ≤ 1 year — deduction limited to cost basis. ",""))))</f>
        <v/>
      </c>
    </row>
    <row r="114" ht="18" customHeight="1">
      <c r="A114" s="22" t="n"/>
      <c r="B114" s="23" t="n"/>
      <c r="C114" s="23" t="n"/>
      <c r="D114" s="24" t="n"/>
      <c r="E114" s="25" t="n"/>
      <c r="F114" s="25" t="n"/>
      <c r="G114" s="26" t="n"/>
      <c r="H114" s="26" t="n"/>
      <c r="I114" s="27">
        <f>IF(OR(D114="",E114=""),"",IF(D114="Securities",IF(G114="N",MIN(E114,IF(F114="",E114,F114)),E114),E114))</f>
        <v/>
      </c>
      <c r="J114" s="28">
        <f>IF(E114="","",IF(TRIM(IF(AND(E114&gt;=250,H114&lt;&gt;"Y"),"Get written acknowledgment (≥ $250). ","")&amp;IF(AND(D114="Non-cash",E114&gt;5000),"Qualified appraisal required (&gt; $5,000 non-cash). ","")&amp;IF(AND(D114="Securities",G114="N"),"Held ≤ 1 year — deduction limited to cost basis. ",""))="",IF(AND(E114&gt;=250,H114="Y"),"Acknowledgment on file","—"),TRIM(IF(AND(E114&gt;=250,H114&lt;&gt;"Y"),"Get written acknowledgment (≥ $250). ","")&amp;IF(AND(D114="Non-cash",E114&gt;5000),"Qualified appraisal required (&gt; $5,000 non-cash). ","")&amp;IF(AND(D114="Securities",G114="N"),"Held ≤ 1 year — deduction limited to cost basis. ",""))))</f>
        <v/>
      </c>
    </row>
    <row r="115" ht="18" customHeight="1">
      <c r="A115" s="22" t="n"/>
      <c r="B115" s="23" t="n"/>
      <c r="C115" s="23" t="n"/>
      <c r="D115" s="24" t="n"/>
      <c r="E115" s="25" t="n"/>
      <c r="F115" s="25" t="n"/>
      <c r="G115" s="26" t="n"/>
      <c r="H115" s="26" t="n"/>
      <c r="I115" s="27">
        <f>IF(OR(D115="",E115=""),"",IF(D115="Securities",IF(G115="N",MIN(E115,IF(F115="",E115,F115)),E115),E115))</f>
        <v/>
      </c>
      <c r="J115" s="28">
        <f>IF(E115="","",IF(TRIM(IF(AND(E115&gt;=250,H115&lt;&gt;"Y"),"Get written acknowledgment (≥ $250). ","")&amp;IF(AND(D115="Non-cash",E115&gt;5000),"Qualified appraisal required (&gt; $5,000 non-cash). ","")&amp;IF(AND(D115="Securities",G115="N"),"Held ≤ 1 year — deduction limited to cost basis. ",""))="",IF(AND(E115&gt;=250,H115="Y"),"Acknowledgment on file","—"),TRIM(IF(AND(E115&gt;=250,H115&lt;&gt;"Y"),"Get written acknowledgment (≥ $250). ","")&amp;IF(AND(D115="Non-cash",E115&gt;5000),"Qualified appraisal required (&gt; $5,000 non-cash). ","")&amp;IF(AND(D115="Securities",G115="N"),"Held ≤ 1 year — deduction limited to cost basis. ",""))))</f>
        <v/>
      </c>
    </row>
    <row r="116" ht="18" customHeight="1">
      <c r="A116" s="22" t="n"/>
      <c r="B116" s="23" t="n"/>
      <c r="C116" s="23" t="n"/>
      <c r="D116" s="24" t="n"/>
      <c r="E116" s="25" t="n"/>
      <c r="F116" s="25" t="n"/>
      <c r="G116" s="26" t="n"/>
      <c r="H116" s="26" t="n"/>
      <c r="I116" s="27">
        <f>IF(OR(D116="",E116=""),"",IF(D116="Securities",IF(G116="N",MIN(E116,IF(F116="",E116,F116)),E116),E116))</f>
        <v/>
      </c>
      <c r="J116" s="28">
        <f>IF(E116="","",IF(TRIM(IF(AND(E116&gt;=250,H116&lt;&gt;"Y"),"Get written acknowledgment (≥ $250). ","")&amp;IF(AND(D116="Non-cash",E116&gt;5000),"Qualified appraisal required (&gt; $5,000 non-cash). ","")&amp;IF(AND(D116="Securities",G116="N"),"Held ≤ 1 year — deduction limited to cost basis. ",""))="",IF(AND(E116&gt;=250,H116="Y"),"Acknowledgment on file","—"),TRIM(IF(AND(E116&gt;=250,H116&lt;&gt;"Y"),"Get written acknowledgment (≥ $250). ","")&amp;IF(AND(D116="Non-cash",E116&gt;5000),"Qualified appraisal required (&gt; $5,000 non-cash). ","")&amp;IF(AND(D116="Securities",G116="N"),"Held ≤ 1 year — deduction limited to cost basis. ",""))))</f>
        <v/>
      </c>
    </row>
    <row r="117" ht="18" customHeight="1">
      <c r="A117" s="22" t="n"/>
      <c r="B117" s="23" t="n"/>
      <c r="C117" s="23" t="n"/>
      <c r="D117" s="24" t="n"/>
      <c r="E117" s="25" t="n"/>
      <c r="F117" s="25" t="n"/>
      <c r="G117" s="26" t="n"/>
      <c r="H117" s="26" t="n"/>
      <c r="I117" s="27">
        <f>IF(OR(D117="",E117=""),"",IF(D117="Securities",IF(G117="N",MIN(E117,IF(F117="",E117,F117)),E117),E117))</f>
        <v/>
      </c>
      <c r="J117" s="28">
        <f>IF(E117="","",IF(TRIM(IF(AND(E117&gt;=250,H117&lt;&gt;"Y"),"Get written acknowledgment (≥ $250). ","")&amp;IF(AND(D117="Non-cash",E117&gt;5000),"Qualified appraisal required (&gt; $5,000 non-cash). ","")&amp;IF(AND(D117="Securities",G117="N"),"Held ≤ 1 year — deduction limited to cost basis. ",""))="",IF(AND(E117&gt;=250,H117="Y"),"Acknowledgment on file","—"),TRIM(IF(AND(E117&gt;=250,H117&lt;&gt;"Y"),"Get written acknowledgment (≥ $250). ","")&amp;IF(AND(D117="Non-cash",E117&gt;5000),"Qualified appraisal required (&gt; $5,000 non-cash). ","")&amp;IF(AND(D117="Securities",G117="N"),"Held ≤ 1 year — deduction limited to cost basis. ",""))))</f>
        <v/>
      </c>
    </row>
    <row r="118" ht="18" customHeight="1">
      <c r="A118" s="22" t="n"/>
      <c r="B118" s="23" t="n"/>
      <c r="C118" s="23" t="n"/>
      <c r="D118" s="24" t="n"/>
      <c r="E118" s="25" t="n"/>
      <c r="F118" s="25" t="n"/>
      <c r="G118" s="26" t="n"/>
      <c r="H118" s="26" t="n"/>
      <c r="I118" s="27">
        <f>IF(OR(D118="",E118=""),"",IF(D118="Securities",IF(G118="N",MIN(E118,IF(F118="",E118,F118)),E118),E118))</f>
        <v/>
      </c>
      <c r="J118" s="28">
        <f>IF(E118="","",IF(TRIM(IF(AND(E118&gt;=250,H118&lt;&gt;"Y"),"Get written acknowledgment (≥ $250). ","")&amp;IF(AND(D118="Non-cash",E118&gt;5000),"Qualified appraisal required (&gt; $5,000 non-cash). ","")&amp;IF(AND(D118="Securities",G118="N"),"Held ≤ 1 year — deduction limited to cost basis. ",""))="",IF(AND(E118&gt;=250,H118="Y"),"Acknowledgment on file","—"),TRIM(IF(AND(E118&gt;=250,H118&lt;&gt;"Y"),"Get written acknowledgment (≥ $250). ","")&amp;IF(AND(D118="Non-cash",E118&gt;5000),"Qualified appraisal required (&gt; $5,000 non-cash). ","")&amp;IF(AND(D118="Securities",G118="N"),"Held ≤ 1 year — deduction limited to cost basis. ",""))))</f>
        <v/>
      </c>
    </row>
    <row r="119" ht="18" customHeight="1">
      <c r="A119" s="22" t="n"/>
      <c r="B119" s="23" t="n"/>
      <c r="C119" s="23" t="n"/>
      <c r="D119" s="24" t="n"/>
      <c r="E119" s="25" t="n"/>
      <c r="F119" s="25" t="n"/>
      <c r="G119" s="26" t="n"/>
      <c r="H119" s="26" t="n"/>
      <c r="I119" s="27">
        <f>IF(OR(D119="",E119=""),"",IF(D119="Securities",IF(G119="N",MIN(E119,IF(F119="",E119,F119)),E119),E119))</f>
        <v/>
      </c>
      <c r="J119" s="28">
        <f>IF(E119="","",IF(TRIM(IF(AND(E119&gt;=250,H119&lt;&gt;"Y"),"Get written acknowledgment (≥ $250). ","")&amp;IF(AND(D119="Non-cash",E119&gt;5000),"Qualified appraisal required (&gt; $5,000 non-cash). ","")&amp;IF(AND(D119="Securities",G119="N"),"Held ≤ 1 year — deduction limited to cost basis. ",""))="",IF(AND(E119&gt;=250,H119="Y"),"Acknowledgment on file","—"),TRIM(IF(AND(E119&gt;=250,H119&lt;&gt;"Y"),"Get written acknowledgment (≥ $250). ","")&amp;IF(AND(D119="Non-cash",E119&gt;5000),"Qualified appraisal required (&gt; $5,000 non-cash). ","")&amp;IF(AND(D119="Securities",G119="N"),"Held ≤ 1 year — deduction limited to cost basis. ",""))))</f>
        <v/>
      </c>
    </row>
    <row r="120" ht="18" customHeight="1">
      <c r="A120" s="22" t="n"/>
      <c r="B120" s="23" t="n"/>
      <c r="C120" s="23" t="n"/>
      <c r="D120" s="24" t="n"/>
      <c r="E120" s="25" t="n"/>
      <c r="F120" s="25" t="n"/>
      <c r="G120" s="26" t="n"/>
      <c r="H120" s="26" t="n"/>
      <c r="I120" s="27">
        <f>IF(OR(D120="",E120=""),"",IF(D120="Securities",IF(G120="N",MIN(E120,IF(F120="",E120,F120)),E120),E120))</f>
        <v/>
      </c>
      <c r="J120" s="28">
        <f>IF(E120="","",IF(TRIM(IF(AND(E120&gt;=250,H120&lt;&gt;"Y"),"Get written acknowledgment (≥ $250). ","")&amp;IF(AND(D120="Non-cash",E120&gt;5000),"Qualified appraisal required (&gt; $5,000 non-cash). ","")&amp;IF(AND(D120="Securities",G120="N"),"Held ≤ 1 year — deduction limited to cost basis. ",""))="",IF(AND(E120&gt;=250,H120="Y"),"Acknowledgment on file","—"),TRIM(IF(AND(E120&gt;=250,H120&lt;&gt;"Y"),"Get written acknowledgment (≥ $250). ","")&amp;IF(AND(D120="Non-cash",E120&gt;5000),"Qualified appraisal required (&gt; $5,000 non-cash). ","")&amp;IF(AND(D120="Securities",G120="N"),"Held ≤ 1 year — deduction limited to cost basis. ",""))))</f>
        <v/>
      </c>
    </row>
    <row r="121" ht="18" customHeight="1">
      <c r="A121" s="22" t="n"/>
      <c r="B121" s="23" t="n"/>
      <c r="C121" s="23" t="n"/>
      <c r="D121" s="24" t="n"/>
      <c r="E121" s="25" t="n"/>
      <c r="F121" s="25" t="n"/>
      <c r="G121" s="26" t="n"/>
      <c r="H121" s="26" t="n"/>
      <c r="I121" s="27">
        <f>IF(OR(D121="",E121=""),"",IF(D121="Securities",IF(G121="N",MIN(E121,IF(F121="",E121,F121)),E121),E121))</f>
        <v/>
      </c>
      <c r="J121" s="28">
        <f>IF(E121="","",IF(TRIM(IF(AND(E121&gt;=250,H121&lt;&gt;"Y"),"Get written acknowledgment (≥ $250). ","")&amp;IF(AND(D121="Non-cash",E121&gt;5000),"Qualified appraisal required (&gt; $5,000 non-cash). ","")&amp;IF(AND(D121="Securities",G121="N"),"Held ≤ 1 year — deduction limited to cost basis. ",""))="",IF(AND(E121&gt;=250,H121="Y"),"Acknowledgment on file","—"),TRIM(IF(AND(E121&gt;=250,H121&lt;&gt;"Y"),"Get written acknowledgment (≥ $250). ","")&amp;IF(AND(D121="Non-cash",E121&gt;5000),"Qualified appraisal required (&gt; $5,000 non-cash). ","")&amp;IF(AND(D121="Securities",G121="N"),"Held ≤ 1 year — deduction limited to cost basis. ",""))))</f>
        <v/>
      </c>
    </row>
    <row r="122" ht="18" customHeight="1">
      <c r="A122" s="22" t="n"/>
      <c r="B122" s="23" t="n"/>
      <c r="C122" s="23" t="n"/>
      <c r="D122" s="24" t="n"/>
      <c r="E122" s="25" t="n"/>
      <c r="F122" s="25" t="n"/>
      <c r="G122" s="26" t="n"/>
      <c r="H122" s="26" t="n"/>
      <c r="I122" s="27">
        <f>IF(OR(D122="",E122=""),"",IF(D122="Securities",IF(G122="N",MIN(E122,IF(F122="",E122,F122)),E122),E122))</f>
        <v/>
      </c>
      <c r="J122" s="28">
        <f>IF(E122="","",IF(TRIM(IF(AND(E122&gt;=250,H122&lt;&gt;"Y"),"Get written acknowledgment (≥ $250). ","")&amp;IF(AND(D122="Non-cash",E122&gt;5000),"Qualified appraisal required (&gt; $5,000 non-cash). ","")&amp;IF(AND(D122="Securities",G122="N"),"Held ≤ 1 year — deduction limited to cost basis. ",""))="",IF(AND(E122&gt;=250,H122="Y"),"Acknowledgment on file","—"),TRIM(IF(AND(E122&gt;=250,H122&lt;&gt;"Y"),"Get written acknowledgment (≥ $250). ","")&amp;IF(AND(D122="Non-cash",E122&gt;5000),"Qualified appraisal required (&gt; $5,000 non-cash). ","")&amp;IF(AND(D122="Securities",G122="N"),"Held ≤ 1 year — deduction limited to cost basis. ",""))))</f>
        <v/>
      </c>
    </row>
    <row r="123" ht="18" customHeight="1">
      <c r="A123" s="22" t="n"/>
      <c r="B123" s="23" t="n"/>
      <c r="C123" s="23" t="n"/>
      <c r="D123" s="24" t="n"/>
      <c r="E123" s="25" t="n"/>
      <c r="F123" s="25" t="n"/>
      <c r="G123" s="26" t="n"/>
      <c r="H123" s="26" t="n"/>
      <c r="I123" s="27">
        <f>IF(OR(D123="",E123=""),"",IF(D123="Securities",IF(G123="N",MIN(E123,IF(F123="",E123,F123)),E123),E123))</f>
        <v/>
      </c>
      <c r="J123" s="28">
        <f>IF(E123="","",IF(TRIM(IF(AND(E123&gt;=250,H123&lt;&gt;"Y"),"Get written acknowledgment (≥ $250). ","")&amp;IF(AND(D123="Non-cash",E123&gt;5000),"Qualified appraisal required (&gt; $5,000 non-cash). ","")&amp;IF(AND(D123="Securities",G123="N"),"Held ≤ 1 year — deduction limited to cost basis. ",""))="",IF(AND(E123&gt;=250,H123="Y"),"Acknowledgment on file","—"),TRIM(IF(AND(E123&gt;=250,H123&lt;&gt;"Y"),"Get written acknowledgment (≥ $250). ","")&amp;IF(AND(D123="Non-cash",E123&gt;5000),"Qualified appraisal required (&gt; $5,000 non-cash). ","")&amp;IF(AND(D123="Securities",G123="N"),"Held ≤ 1 year — deduction limited to cost basis. ",""))))</f>
        <v/>
      </c>
    </row>
    <row r="124" ht="18" customHeight="1">
      <c r="A124" s="22" t="n"/>
      <c r="B124" s="23" t="n"/>
      <c r="C124" s="23" t="n"/>
      <c r="D124" s="24" t="n"/>
      <c r="E124" s="25" t="n"/>
      <c r="F124" s="25" t="n"/>
      <c r="G124" s="26" t="n"/>
      <c r="H124" s="26" t="n"/>
      <c r="I124" s="27">
        <f>IF(OR(D124="",E124=""),"",IF(D124="Securities",IF(G124="N",MIN(E124,IF(F124="",E124,F124)),E124),E124))</f>
        <v/>
      </c>
      <c r="J124" s="28">
        <f>IF(E124="","",IF(TRIM(IF(AND(E124&gt;=250,H124&lt;&gt;"Y"),"Get written acknowledgment (≥ $250). ","")&amp;IF(AND(D124="Non-cash",E124&gt;5000),"Qualified appraisal required (&gt; $5,000 non-cash). ","")&amp;IF(AND(D124="Securities",G124="N"),"Held ≤ 1 year — deduction limited to cost basis. ",""))="",IF(AND(E124&gt;=250,H124="Y"),"Acknowledgment on file","—"),TRIM(IF(AND(E124&gt;=250,H124&lt;&gt;"Y"),"Get written acknowledgment (≥ $250). ","")&amp;IF(AND(D124="Non-cash",E124&gt;5000),"Qualified appraisal required (&gt; $5,000 non-cash). ","")&amp;IF(AND(D124="Securities",G124="N"),"Held ≤ 1 year — deduction limited to cost basis. ",""))))</f>
        <v/>
      </c>
    </row>
    <row r="125" ht="18" customHeight="1">
      <c r="A125" s="22" t="n"/>
      <c r="B125" s="23" t="n"/>
      <c r="C125" s="23" t="n"/>
      <c r="D125" s="24" t="n"/>
      <c r="E125" s="25" t="n"/>
      <c r="F125" s="25" t="n"/>
      <c r="G125" s="26" t="n"/>
      <c r="H125" s="26" t="n"/>
      <c r="I125" s="27">
        <f>IF(OR(D125="",E125=""),"",IF(D125="Securities",IF(G125="N",MIN(E125,IF(F125="",E125,F125)),E125),E125))</f>
        <v/>
      </c>
      <c r="J125" s="28">
        <f>IF(E125="","",IF(TRIM(IF(AND(E125&gt;=250,H125&lt;&gt;"Y"),"Get written acknowledgment (≥ $250). ","")&amp;IF(AND(D125="Non-cash",E125&gt;5000),"Qualified appraisal required (&gt; $5,000 non-cash). ","")&amp;IF(AND(D125="Securities",G125="N"),"Held ≤ 1 year — deduction limited to cost basis. ",""))="",IF(AND(E125&gt;=250,H125="Y"),"Acknowledgment on file","—"),TRIM(IF(AND(E125&gt;=250,H125&lt;&gt;"Y"),"Get written acknowledgment (≥ $250). ","")&amp;IF(AND(D125="Non-cash",E125&gt;5000),"Qualified appraisal required (&gt; $5,000 non-cash). ","")&amp;IF(AND(D125="Securities",G125="N"),"Held ≤ 1 year — deduction limited to cost basis. ",""))))</f>
        <v/>
      </c>
    </row>
    <row r="126" ht="18" customHeight="1">
      <c r="A126" s="22" t="n"/>
      <c r="B126" s="23" t="n"/>
      <c r="C126" s="23" t="n"/>
      <c r="D126" s="24" t="n"/>
      <c r="E126" s="25" t="n"/>
      <c r="F126" s="25" t="n"/>
      <c r="G126" s="26" t="n"/>
      <c r="H126" s="26" t="n"/>
      <c r="I126" s="27">
        <f>IF(OR(D126="",E126=""),"",IF(D126="Securities",IF(G126="N",MIN(E126,IF(F126="",E126,F126)),E126),E126))</f>
        <v/>
      </c>
      <c r="J126" s="28">
        <f>IF(E126="","",IF(TRIM(IF(AND(E126&gt;=250,H126&lt;&gt;"Y"),"Get written acknowledgment (≥ $250). ","")&amp;IF(AND(D126="Non-cash",E126&gt;5000),"Qualified appraisal required (&gt; $5,000 non-cash). ","")&amp;IF(AND(D126="Securities",G126="N"),"Held ≤ 1 year — deduction limited to cost basis. ",""))="",IF(AND(E126&gt;=250,H126="Y"),"Acknowledgment on file","—"),TRIM(IF(AND(E126&gt;=250,H126&lt;&gt;"Y"),"Get written acknowledgment (≥ $250). ","")&amp;IF(AND(D126="Non-cash",E126&gt;5000),"Qualified appraisal required (&gt; $5,000 non-cash). ","")&amp;IF(AND(D126="Securities",G126="N"),"Held ≤ 1 year — deduction limited to cost basis. ",""))))</f>
        <v/>
      </c>
    </row>
    <row r="127" ht="18" customHeight="1">
      <c r="A127" s="22" t="n"/>
      <c r="B127" s="23" t="n"/>
      <c r="C127" s="23" t="n"/>
      <c r="D127" s="24" t="n"/>
      <c r="E127" s="25" t="n"/>
      <c r="F127" s="25" t="n"/>
      <c r="G127" s="26" t="n"/>
      <c r="H127" s="26" t="n"/>
      <c r="I127" s="27">
        <f>IF(OR(D127="",E127=""),"",IF(D127="Securities",IF(G127="N",MIN(E127,IF(F127="",E127,F127)),E127),E127))</f>
        <v/>
      </c>
      <c r="J127" s="28">
        <f>IF(E127="","",IF(TRIM(IF(AND(E127&gt;=250,H127&lt;&gt;"Y"),"Get written acknowledgment (≥ $250). ","")&amp;IF(AND(D127="Non-cash",E127&gt;5000),"Qualified appraisal required (&gt; $5,000 non-cash). ","")&amp;IF(AND(D127="Securities",G127="N"),"Held ≤ 1 year — deduction limited to cost basis. ",""))="",IF(AND(E127&gt;=250,H127="Y"),"Acknowledgment on file","—"),TRIM(IF(AND(E127&gt;=250,H127&lt;&gt;"Y"),"Get written acknowledgment (≥ $250). ","")&amp;IF(AND(D127="Non-cash",E127&gt;5000),"Qualified appraisal required (&gt; $5,000 non-cash). ","")&amp;IF(AND(D127="Securities",G127="N"),"Held ≤ 1 year — deduction limited to cost basis. ",""))))</f>
        <v/>
      </c>
    </row>
    <row r="128" ht="18" customHeight="1">
      <c r="A128" s="22" t="n"/>
      <c r="B128" s="23" t="n"/>
      <c r="C128" s="23" t="n"/>
      <c r="D128" s="24" t="n"/>
      <c r="E128" s="25" t="n"/>
      <c r="F128" s="25" t="n"/>
      <c r="G128" s="26" t="n"/>
      <c r="H128" s="26" t="n"/>
      <c r="I128" s="27">
        <f>IF(OR(D128="",E128=""),"",IF(D128="Securities",IF(G128="N",MIN(E128,IF(F128="",E128,F128)),E128),E128))</f>
        <v/>
      </c>
      <c r="J128" s="28">
        <f>IF(E128="","",IF(TRIM(IF(AND(E128&gt;=250,H128&lt;&gt;"Y"),"Get written acknowledgment (≥ $250). ","")&amp;IF(AND(D128="Non-cash",E128&gt;5000),"Qualified appraisal required (&gt; $5,000 non-cash). ","")&amp;IF(AND(D128="Securities",G128="N"),"Held ≤ 1 year — deduction limited to cost basis. ",""))="",IF(AND(E128&gt;=250,H128="Y"),"Acknowledgment on file","—"),TRIM(IF(AND(E128&gt;=250,H128&lt;&gt;"Y"),"Get written acknowledgment (≥ $250). ","")&amp;IF(AND(D128="Non-cash",E128&gt;5000),"Qualified appraisal required (&gt; $5,000 non-cash). ","")&amp;IF(AND(D128="Securities",G128="N"),"Held ≤ 1 year — deduction limited to cost basis. ",""))))</f>
        <v/>
      </c>
    </row>
    <row r="129" ht="18" customHeight="1">
      <c r="A129" s="22" t="n"/>
      <c r="B129" s="23" t="n"/>
      <c r="C129" s="23" t="n"/>
      <c r="D129" s="24" t="n"/>
      <c r="E129" s="25" t="n"/>
      <c r="F129" s="25" t="n"/>
      <c r="G129" s="26" t="n"/>
      <c r="H129" s="26" t="n"/>
      <c r="I129" s="27">
        <f>IF(OR(D129="",E129=""),"",IF(D129="Securities",IF(G129="N",MIN(E129,IF(F129="",E129,F129)),E129),E129))</f>
        <v/>
      </c>
      <c r="J129" s="28">
        <f>IF(E129="","",IF(TRIM(IF(AND(E129&gt;=250,H129&lt;&gt;"Y"),"Get written acknowledgment (≥ $250). ","")&amp;IF(AND(D129="Non-cash",E129&gt;5000),"Qualified appraisal required (&gt; $5,000 non-cash). ","")&amp;IF(AND(D129="Securities",G129="N"),"Held ≤ 1 year — deduction limited to cost basis. ",""))="",IF(AND(E129&gt;=250,H129="Y"),"Acknowledgment on file","—"),TRIM(IF(AND(E129&gt;=250,H129&lt;&gt;"Y"),"Get written acknowledgment (≥ $250). ","")&amp;IF(AND(D129="Non-cash",E129&gt;5000),"Qualified appraisal required (&gt; $5,000 non-cash). ","")&amp;IF(AND(D129="Securities",G129="N"),"Held ≤ 1 year — deduction limited to cost basis. ",""))))</f>
        <v/>
      </c>
    </row>
    <row r="130" ht="18" customHeight="1">
      <c r="A130" s="22" t="n"/>
      <c r="B130" s="23" t="n"/>
      <c r="C130" s="23" t="n"/>
      <c r="D130" s="24" t="n"/>
      <c r="E130" s="25" t="n"/>
      <c r="F130" s="25" t="n"/>
      <c r="G130" s="26" t="n"/>
      <c r="H130" s="26" t="n"/>
      <c r="I130" s="27">
        <f>IF(OR(D130="",E130=""),"",IF(D130="Securities",IF(G130="N",MIN(E130,IF(F130="",E130,F130)),E130),E130))</f>
        <v/>
      </c>
      <c r="J130" s="28">
        <f>IF(E130="","",IF(TRIM(IF(AND(E130&gt;=250,H130&lt;&gt;"Y"),"Get written acknowledgment (≥ $250). ","")&amp;IF(AND(D130="Non-cash",E130&gt;5000),"Qualified appraisal required (&gt; $5,000 non-cash). ","")&amp;IF(AND(D130="Securities",G130="N"),"Held ≤ 1 year — deduction limited to cost basis. ",""))="",IF(AND(E130&gt;=250,H130="Y"),"Acknowledgment on file","—"),TRIM(IF(AND(E130&gt;=250,H130&lt;&gt;"Y"),"Get written acknowledgment (≥ $250). ","")&amp;IF(AND(D130="Non-cash",E130&gt;5000),"Qualified appraisal required (&gt; $5,000 non-cash). ","")&amp;IF(AND(D130="Securities",G130="N"),"Held ≤ 1 year — deduction limited to cost basis. ",""))))</f>
        <v/>
      </c>
    </row>
    <row r="131" ht="18" customHeight="1">
      <c r="A131" s="22" t="n"/>
      <c r="B131" s="23" t="n"/>
      <c r="C131" s="23" t="n"/>
      <c r="D131" s="24" t="n"/>
      <c r="E131" s="25" t="n"/>
      <c r="F131" s="25" t="n"/>
      <c r="G131" s="26" t="n"/>
      <c r="H131" s="26" t="n"/>
      <c r="I131" s="27">
        <f>IF(OR(D131="",E131=""),"",IF(D131="Securities",IF(G131="N",MIN(E131,IF(F131="",E131,F131)),E131),E131))</f>
        <v/>
      </c>
      <c r="J131" s="28">
        <f>IF(E131="","",IF(TRIM(IF(AND(E131&gt;=250,H131&lt;&gt;"Y"),"Get written acknowledgment (≥ $250). ","")&amp;IF(AND(D131="Non-cash",E131&gt;5000),"Qualified appraisal required (&gt; $5,000 non-cash). ","")&amp;IF(AND(D131="Securities",G131="N"),"Held ≤ 1 year — deduction limited to cost basis. ",""))="",IF(AND(E131&gt;=250,H131="Y"),"Acknowledgment on file","—"),TRIM(IF(AND(E131&gt;=250,H131&lt;&gt;"Y"),"Get written acknowledgment (≥ $250). ","")&amp;IF(AND(D131="Non-cash",E131&gt;5000),"Qualified appraisal required (&gt; $5,000 non-cash). ","")&amp;IF(AND(D131="Securities",G131="N"),"Held ≤ 1 year — deduction limited to cost basis. ",""))))</f>
        <v/>
      </c>
    </row>
    <row r="132" ht="18" customHeight="1">
      <c r="A132" s="22" t="n"/>
      <c r="B132" s="23" t="n"/>
      <c r="C132" s="23" t="n"/>
      <c r="D132" s="24" t="n"/>
      <c r="E132" s="25" t="n"/>
      <c r="F132" s="25" t="n"/>
      <c r="G132" s="26" t="n"/>
      <c r="H132" s="26" t="n"/>
      <c r="I132" s="27">
        <f>IF(OR(D132="",E132=""),"",IF(D132="Securities",IF(G132="N",MIN(E132,IF(F132="",E132,F132)),E132),E132))</f>
        <v/>
      </c>
      <c r="J132" s="28">
        <f>IF(E132="","",IF(TRIM(IF(AND(E132&gt;=250,H132&lt;&gt;"Y"),"Get written acknowledgment (≥ $250). ","")&amp;IF(AND(D132="Non-cash",E132&gt;5000),"Qualified appraisal required (&gt; $5,000 non-cash). ","")&amp;IF(AND(D132="Securities",G132="N"),"Held ≤ 1 year — deduction limited to cost basis. ",""))="",IF(AND(E132&gt;=250,H132="Y"),"Acknowledgment on file","—"),TRIM(IF(AND(E132&gt;=250,H132&lt;&gt;"Y"),"Get written acknowledgment (≥ $250). ","")&amp;IF(AND(D132="Non-cash",E132&gt;5000),"Qualified appraisal required (&gt; $5,000 non-cash). ","")&amp;IF(AND(D132="Securities",G132="N"),"Held ≤ 1 year — deduction limited to cost basis. ",""))))</f>
        <v/>
      </c>
    </row>
    <row r="133" ht="18" customHeight="1">
      <c r="A133" s="22" t="n"/>
      <c r="B133" s="23" t="n"/>
      <c r="C133" s="23" t="n"/>
      <c r="D133" s="24" t="n"/>
      <c r="E133" s="25" t="n"/>
      <c r="F133" s="25" t="n"/>
      <c r="G133" s="26" t="n"/>
      <c r="H133" s="26" t="n"/>
      <c r="I133" s="27">
        <f>IF(OR(D133="",E133=""),"",IF(D133="Securities",IF(G133="N",MIN(E133,IF(F133="",E133,F133)),E133),E133))</f>
        <v/>
      </c>
      <c r="J133" s="28">
        <f>IF(E133="","",IF(TRIM(IF(AND(E133&gt;=250,H133&lt;&gt;"Y"),"Get written acknowledgment (≥ $250). ","")&amp;IF(AND(D133="Non-cash",E133&gt;5000),"Qualified appraisal required (&gt; $5,000 non-cash). ","")&amp;IF(AND(D133="Securities",G133="N"),"Held ≤ 1 year — deduction limited to cost basis. ",""))="",IF(AND(E133&gt;=250,H133="Y"),"Acknowledgment on file","—"),TRIM(IF(AND(E133&gt;=250,H133&lt;&gt;"Y"),"Get written acknowledgment (≥ $250). ","")&amp;IF(AND(D133="Non-cash",E133&gt;5000),"Qualified appraisal required (&gt; $5,000 non-cash). ","")&amp;IF(AND(D133="Securities",G133="N"),"Held ≤ 1 year — deduction limited to cost basis. ",""))))</f>
        <v/>
      </c>
    </row>
    <row r="134" ht="18" customHeight="1">
      <c r="A134" s="22" t="n"/>
      <c r="B134" s="23" t="n"/>
      <c r="C134" s="23" t="n"/>
      <c r="D134" s="24" t="n"/>
      <c r="E134" s="25" t="n"/>
      <c r="F134" s="25" t="n"/>
      <c r="G134" s="26" t="n"/>
      <c r="H134" s="26" t="n"/>
      <c r="I134" s="27">
        <f>IF(OR(D134="",E134=""),"",IF(D134="Securities",IF(G134="N",MIN(E134,IF(F134="",E134,F134)),E134),E134))</f>
        <v/>
      </c>
      <c r="J134" s="28">
        <f>IF(E134="","",IF(TRIM(IF(AND(E134&gt;=250,H134&lt;&gt;"Y"),"Get written acknowledgment (≥ $250). ","")&amp;IF(AND(D134="Non-cash",E134&gt;5000),"Qualified appraisal required (&gt; $5,000 non-cash). ","")&amp;IF(AND(D134="Securities",G134="N"),"Held ≤ 1 year — deduction limited to cost basis. ",""))="",IF(AND(E134&gt;=250,H134="Y"),"Acknowledgment on file","—"),TRIM(IF(AND(E134&gt;=250,H134&lt;&gt;"Y"),"Get written acknowledgment (≥ $250). ","")&amp;IF(AND(D134="Non-cash",E134&gt;5000),"Qualified appraisal required (&gt; $5,000 non-cash). ","")&amp;IF(AND(D134="Securities",G134="N"),"Held ≤ 1 year — deduction limited to cost basis. ",""))))</f>
        <v/>
      </c>
    </row>
    <row r="135" ht="18" customHeight="1">
      <c r="A135" s="22" t="n"/>
      <c r="B135" s="23" t="n"/>
      <c r="C135" s="23" t="n"/>
      <c r="D135" s="24" t="n"/>
      <c r="E135" s="25" t="n"/>
      <c r="F135" s="25" t="n"/>
      <c r="G135" s="26" t="n"/>
      <c r="H135" s="26" t="n"/>
      <c r="I135" s="27">
        <f>IF(OR(D135="",E135=""),"",IF(D135="Securities",IF(G135="N",MIN(E135,IF(F135="",E135,F135)),E135),E135))</f>
        <v/>
      </c>
      <c r="J135" s="28">
        <f>IF(E135="","",IF(TRIM(IF(AND(E135&gt;=250,H135&lt;&gt;"Y"),"Get written acknowledgment (≥ $250). ","")&amp;IF(AND(D135="Non-cash",E135&gt;5000),"Qualified appraisal required (&gt; $5,000 non-cash). ","")&amp;IF(AND(D135="Securities",G135="N"),"Held ≤ 1 year — deduction limited to cost basis. ",""))="",IF(AND(E135&gt;=250,H135="Y"),"Acknowledgment on file","—"),TRIM(IF(AND(E135&gt;=250,H135&lt;&gt;"Y"),"Get written acknowledgment (≥ $250). ","")&amp;IF(AND(D135="Non-cash",E135&gt;5000),"Qualified appraisal required (&gt; $5,000 non-cash). ","")&amp;IF(AND(D135="Securities",G135="N"),"Held ≤ 1 year — deduction limited to cost basis. ",""))))</f>
        <v/>
      </c>
    </row>
    <row r="136" ht="18" customHeight="1">
      <c r="A136" s="22" t="n"/>
      <c r="B136" s="23" t="n"/>
      <c r="C136" s="23" t="n"/>
      <c r="D136" s="24" t="n"/>
      <c r="E136" s="25" t="n"/>
      <c r="F136" s="25" t="n"/>
      <c r="G136" s="26" t="n"/>
      <c r="H136" s="26" t="n"/>
      <c r="I136" s="27">
        <f>IF(OR(D136="",E136=""),"",IF(D136="Securities",IF(G136="N",MIN(E136,IF(F136="",E136,F136)),E136),E136))</f>
        <v/>
      </c>
      <c r="J136" s="28">
        <f>IF(E136="","",IF(TRIM(IF(AND(E136&gt;=250,H136&lt;&gt;"Y"),"Get written acknowledgment (≥ $250). ","")&amp;IF(AND(D136="Non-cash",E136&gt;5000),"Qualified appraisal required (&gt; $5,000 non-cash). ","")&amp;IF(AND(D136="Securities",G136="N"),"Held ≤ 1 year — deduction limited to cost basis. ",""))="",IF(AND(E136&gt;=250,H136="Y"),"Acknowledgment on file","—"),TRIM(IF(AND(E136&gt;=250,H136&lt;&gt;"Y"),"Get written acknowledgment (≥ $250). ","")&amp;IF(AND(D136="Non-cash",E136&gt;5000),"Qualified appraisal required (&gt; $5,000 non-cash). ","")&amp;IF(AND(D136="Securities",G136="N"),"Held ≤ 1 year — deduction limited to cost basis. ",""))))</f>
        <v/>
      </c>
    </row>
    <row r="137" ht="18" customHeight="1">
      <c r="A137" s="22" t="n"/>
      <c r="B137" s="23" t="n"/>
      <c r="C137" s="23" t="n"/>
      <c r="D137" s="24" t="n"/>
      <c r="E137" s="25" t="n"/>
      <c r="F137" s="25" t="n"/>
      <c r="G137" s="26" t="n"/>
      <c r="H137" s="26" t="n"/>
      <c r="I137" s="27">
        <f>IF(OR(D137="",E137=""),"",IF(D137="Securities",IF(G137="N",MIN(E137,IF(F137="",E137,F137)),E137),E137))</f>
        <v/>
      </c>
      <c r="J137" s="28">
        <f>IF(E137="","",IF(TRIM(IF(AND(E137&gt;=250,H137&lt;&gt;"Y"),"Get written acknowledgment (≥ $250). ","")&amp;IF(AND(D137="Non-cash",E137&gt;5000),"Qualified appraisal required (&gt; $5,000 non-cash). ","")&amp;IF(AND(D137="Securities",G137="N"),"Held ≤ 1 year — deduction limited to cost basis. ",""))="",IF(AND(E137&gt;=250,H137="Y"),"Acknowledgment on file","—"),TRIM(IF(AND(E137&gt;=250,H137&lt;&gt;"Y"),"Get written acknowledgment (≥ $250). ","")&amp;IF(AND(D137="Non-cash",E137&gt;5000),"Qualified appraisal required (&gt; $5,000 non-cash). ","")&amp;IF(AND(D137="Securities",G137="N"),"Held ≤ 1 year — deduction limited to cost basis. ",""))))</f>
        <v/>
      </c>
    </row>
    <row r="138" ht="18" customHeight="1">
      <c r="A138" s="22" t="n"/>
      <c r="B138" s="23" t="n"/>
      <c r="C138" s="23" t="n"/>
      <c r="D138" s="24" t="n"/>
      <c r="E138" s="25" t="n"/>
      <c r="F138" s="25" t="n"/>
      <c r="G138" s="26" t="n"/>
      <c r="H138" s="26" t="n"/>
      <c r="I138" s="27">
        <f>IF(OR(D138="",E138=""),"",IF(D138="Securities",IF(G138="N",MIN(E138,IF(F138="",E138,F138)),E138),E138))</f>
        <v/>
      </c>
      <c r="J138" s="28">
        <f>IF(E138="","",IF(TRIM(IF(AND(E138&gt;=250,H138&lt;&gt;"Y"),"Get written acknowledgment (≥ $250). ","")&amp;IF(AND(D138="Non-cash",E138&gt;5000),"Qualified appraisal required (&gt; $5,000 non-cash). ","")&amp;IF(AND(D138="Securities",G138="N"),"Held ≤ 1 year — deduction limited to cost basis. ",""))="",IF(AND(E138&gt;=250,H138="Y"),"Acknowledgment on file","—"),TRIM(IF(AND(E138&gt;=250,H138&lt;&gt;"Y"),"Get written acknowledgment (≥ $250). ","")&amp;IF(AND(D138="Non-cash",E138&gt;5000),"Qualified appraisal required (&gt; $5,000 non-cash). ","")&amp;IF(AND(D138="Securities",G138="N"),"Held ≤ 1 year — deduction limited to cost basis. ",""))))</f>
        <v/>
      </c>
    </row>
    <row r="139" ht="18" customHeight="1">
      <c r="A139" s="22" t="n"/>
      <c r="B139" s="23" t="n"/>
      <c r="C139" s="23" t="n"/>
      <c r="D139" s="24" t="n"/>
      <c r="E139" s="25" t="n"/>
      <c r="F139" s="25" t="n"/>
      <c r="G139" s="26" t="n"/>
      <c r="H139" s="26" t="n"/>
      <c r="I139" s="27">
        <f>IF(OR(D139="",E139=""),"",IF(D139="Securities",IF(G139="N",MIN(E139,IF(F139="",E139,F139)),E139),E139))</f>
        <v/>
      </c>
      <c r="J139" s="28">
        <f>IF(E139="","",IF(TRIM(IF(AND(E139&gt;=250,H139&lt;&gt;"Y"),"Get written acknowledgment (≥ $250). ","")&amp;IF(AND(D139="Non-cash",E139&gt;5000),"Qualified appraisal required (&gt; $5,000 non-cash). ","")&amp;IF(AND(D139="Securities",G139="N"),"Held ≤ 1 year — deduction limited to cost basis. ",""))="",IF(AND(E139&gt;=250,H139="Y"),"Acknowledgment on file","—"),TRIM(IF(AND(E139&gt;=250,H139&lt;&gt;"Y"),"Get written acknowledgment (≥ $250). ","")&amp;IF(AND(D139="Non-cash",E139&gt;5000),"Qualified appraisal required (&gt; $5,000 non-cash). ","")&amp;IF(AND(D139="Securities",G139="N"),"Held ≤ 1 year — deduction limited to cost basis. ",""))))</f>
        <v/>
      </c>
    </row>
    <row r="140" ht="18" customHeight="1">
      <c r="A140" s="22" t="n"/>
      <c r="B140" s="23" t="n"/>
      <c r="C140" s="23" t="n"/>
      <c r="D140" s="24" t="n"/>
      <c r="E140" s="25" t="n"/>
      <c r="F140" s="25" t="n"/>
      <c r="G140" s="26" t="n"/>
      <c r="H140" s="26" t="n"/>
      <c r="I140" s="27">
        <f>IF(OR(D140="",E140=""),"",IF(D140="Securities",IF(G140="N",MIN(E140,IF(F140="",E140,F140)),E140),E140))</f>
        <v/>
      </c>
      <c r="J140" s="28">
        <f>IF(E140="","",IF(TRIM(IF(AND(E140&gt;=250,H140&lt;&gt;"Y"),"Get written acknowledgment (≥ $250). ","")&amp;IF(AND(D140="Non-cash",E140&gt;5000),"Qualified appraisal required (&gt; $5,000 non-cash). ","")&amp;IF(AND(D140="Securities",G140="N"),"Held ≤ 1 year — deduction limited to cost basis. ",""))="",IF(AND(E140&gt;=250,H140="Y"),"Acknowledgment on file","—"),TRIM(IF(AND(E140&gt;=250,H140&lt;&gt;"Y"),"Get written acknowledgment (≥ $250). ","")&amp;IF(AND(D140="Non-cash",E140&gt;5000),"Qualified appraisal required (&gt; $5,000 non-cash). ","")&amp;IF(AND(D140="Securities",G140="N"),"Held ≤ 1 year — deduction limited to cost basis. ",""))))</f>
        <v/>
      </c>
    </row>
    <row r="141" ht="18" customHeight="1">
      <c r="A141" s="22" t="n"/>
      <c r="B141" s="23" t="n"/>
      <c r="C141" s="23" t="n"/>
      <c r="D141" s="24" t="n"/>
      <c r="E141" s="25" t="n"/>
      <c r="F141" s="25" t="n"/>
      <c r="G141" s="26" t="n"/>
      <c r="H141" s="26" t="n"/>
      <c r="I141" s="27">
        <f>IF(OR(D141="",E141=""),"",IF(D141="Securities",IF(G141="N",MIN(E141,IF(F141="",E141,F141)),E141),E141))</f>
        <v/>
      </c>
      <c r="J141" s="28">
        <f>IF(E141="","",IF(TRIM(IF(AND(E141&gt;=250,H141&lt;&gt;"Y"),"Get written acknowledgment (≥ $250). ","")&amp;IF(AND(D141="Non-cash",E141&gt;5000),"Qualified appraisal required (&gt; $5,000 non-cash). ","")&amp;IF(AND(D141="Securities",G141="N"),"Held ≤ 1 year — deduction limited to cost basis. ",""))="",IF(AND(E141&gt;=250,H141="Y"),"Acknowledgment on file","—"),TRIM(IF(AND(E141&gt;=250,H141&lt;&gt;"Y"),"Get written acknowledgment (≥ $250). ","")&amp;IF(AND(D141="Non-cash",E141&gt;5000),"Qualified appraisal required (&gt; $5,000 non-cash). ","")&amp;IF(AND(D141="Securities",G141="N"),"Held ≤ 1 year — deduction limited to cost basis. ",""))))</f>
        <v/>
      </c>
    </row>
    <row r="142" ht="18" customHeight="1">
      <c r="A142" s="22" t="n"/>
      <c r="B142" s="23" t="n"/>
      <c r="C142" s="23" t="n"/>
      <c r="D142" s="24" t="n"/>
      <c r="E142" s="25" t="n"/>
      <c r="F142" s="25" t="n"/>
      <c r="G142" s="26" t="n"/>
      <c r="H142" s="26" t="n"/>
      <c r="I142" s="27">
        <f>IF(OR(D142="",E142=""),"",IF(D142="Securities",IF(G142="N",MIN(E142,IF(F142="",E142,F142)),E142),E142))</f>
        <v/>
      </c>
      <c r="J142" s="28">
        <f>IF(E142="","",IF(TRIM(IF(AND(E142&gt;=250,H142&lt;&gt;"Y"),"Get written acknowledgment (≥ $250). ","")&amp;IF(AND(D142="Non-cash",E142&gt;5000),"Qualified appraisal required (&gt; $5,000 non-cash). ","")&amp;IF(AND(D142="Securities",G142="N"),"Held ≤ 1 year — deduction limited to cost basis. ",""))="",IF(AND(E142&gt;=250,H142="Y"),"Acknowledgment on file","—"),TRIM(IF(AND(E142&gt;=250,H142&lt;&gt;"Y"),"Get written acknowledgment (≥ $250). ","")&amp;IF(AND(D142="Non-cash",E142&gt;5000),"Qualified appraisal required (&gt; $5,000 non-cash). ","")&amp;IF(AND(D142="Securities",G142="N"),"Held ≤ 1 year — deduction limited to cost basis. ",""))))</f>
        <v/>
      </c>
    </row>
    <row r="143" ht="18" customHeight="1">
      <c r="A143" s="22" t="n"/>
      <c r="B143" s="23" t="n"/>
      <c r="C143" s="23" t="n"/>
      <c r="D143" s="24" t="n"/>
      <c r="E143" s="25" t="n"/>
      <c r="F143" s="25" t="n"/>
      <c r="G143" s="26" t="n"/>
      <c r="H143" s="26" t="n"/>
      <c r="I143" s="27">
        <f>IF(OR(D143="",E143=""),"",IF(D143="Securities",IF(G143="N",MIN(E143,IF(F143="",E143,F143)),E143),E143))</f>
        <v/>
      </c>
      <c r="J143" s="28">
        <f>IF(E143="","",IF(TRIM(IF(AND(E143&gt;=250,H143&lt;&gt;"Y"),"Get written acknowledgment (≥ $250). ","")&amp;IF(AND(D143="Non-cash",E143&gt;5000),"Qualified appraisal required (&gt; $5,000 non-cash). ","")&amp;IF(AND(D143="Securities",G143="N"),"Held ≤ 1 year — deduction limited to cost basis. ",""))="",IF(AND(E143&gt;=250,H143="Y"),"Acknowledgment on file","—"),TRIM(IF(AND(E143&gt;=250,H143&lt;&gt;"Y"),"Get written acknowledgment (≥ $250). ","")&amp;IF(AND(D143="Non-cash",E143&gt;5000),"Qualified appraisal required (&gt; $5,000 non-cash). ","")&amp;IF(AND(D143="Securities",G143="N"),"Held ≤ 1 year — deduction limited to cost basis. ",""))))</f>
        <v/>
      </c>
    </row>
    <row r="144" ht="18" customHeight="1">
      <c r="A144" s="22" t="n"/>
      <c r="B144" s="23" t="n"/>
      <c r="C144" s="23" t="n"/>
      <c r="D144" s="24" t="n"/>
      <c r="E144" s="25" t="n"/>
      <c r="F144" s="25" t="n"/>
      <c r="G144" s="26" t="n"/>
      <c r="H144" s="26" t="n"/>
      <c r="I144" s="27">
        <f>IF(OR(D144="",E144=""),"",IF(D144="Securities",IF(G144="N",MIN(E144,IF(F144="",E144,F144)),E144),E144))</f>
        <v/>
      </c>
      <c r="J144" s="28">
        <f>IF(E144="","",IF(TRIM(IF(AND(E144&gt;=250,H144&lt;&gt;"Y"),"Get written acknowledgment (≥ $250). ","")&amp;IF(AND(D144="Non-cash",E144&gt;5000),"Qualified appraisal required (&gt; $5,000 non-cash). ","")&amp;IF(AND(D144="Securities",G144="N"),"Held ≤ 1 year — deduction limited to cost basis. ",""))="",IF(AND(E144&gt;=250,H144="Y"),"Acknowledgment on file","—"),TRIM(IF(AND(E144&gt;=250,H144&lt;&gt;"Y"),"Get written acknowledgment (≥ $250). ","")&amp;IF(AND(D144="Non-cash",E144&gt;5000),"Qualified appraisal required (&gt; $5,000 non-cash). ","")&amp;IF(AND(D144="Securities",G144="N"),"Held ≤ 1 year — deduction limited to cost basis. ",""))))</f>
        <v/>
      </c>
    </row>
    <row r="145" ht="18" customHeight="1">
      <c r="A145" s="22" t="n"/>
      <c r="B145" s="23" t="n"/>
      <c r="C145" s="23" t="n"/>
      <c r="D145" s="24" t="n"/>
      <c r="E145" s="25" t="n"/>
      <c r="F145" s="25" t="n"/>
      <c r="G145" s="26" t="n"/>
      <c r="H145" s="26" t="n"/>
      <c r="I145" s="27">
        <f>IF(OR(D145="",E145=""),"",IF(D145="Securities",IF(G145="N",MIN(E145,IF(F145="",E145,F145)),E145),E145))</f>
        <v/>
      </c>
      <c r="J145" s="28">
        <f>IF(E145="","",IF(TRIM(IF(AND(E145&gt;=250,H145&lt;&gt;"Y"),"Get written acknowledgment (≥ $250). ","")&amp;IF(AND(D145="Non-cash",E145&gt;5000),"Qualified appraisal required (&gt; $5,000 non-cash). ","")&amp;IF(AND(D145="Securities",G145="N"),"Held ≤ 1 year — deduction limited to cost basis. ",""))="",IF(AND(E145&gt;=250,H145="Y"),"Acknowledgment on file","—"),TRIM(IF(AND(E145&gt;=250,H145&lt;&gt;"Y"),"Get written acknowledgment (≥ $250). ","")&amp;IF(AND(D145="Non-cash",E145&gt;5000),"Qualified appraisal required (&gt; $5,000 non-cash). ","")&amp;IF(AND(D145="Securities",G145="N"),"Held ≤ 1 year — deduction limited to cost basis. ",""))))</f>
        <v/>
      </c>
    </row>
    <row r="146" ht="18" customHeight="1">
      <c r="A146" s="22" t="n"/>
      <c r="B146" s="23" t="n"/>
      <c r="C146" s="23" t="n"/>
      <c r="D146" s="24" t="n"/>
      <c r="E146" s="25" t="n"/>
      <c r="F146" s="25" t="n"/>
      <c r="G146" s="26" t="n"/>
      <c r="H146" s="26" t="n"/>
      <c r="I146" s="27">
        <f>IF(OR(D146="",E146=""),"",IF(D146="Securities",IF(G146="N",MIN(E146,IF(F146="",E146,F146)),E146),E146))</f>
        <v/>
      </c>
      <c r="J146" s="28">
        <f>IF(E146="","",IF(TRIM(IF(AND(E146&gt;=250,H146&lt;&gt;"Y"),"Get written acknowledgment (≥ $250). ","")&amp;IF(AND(D146="Non-cash",E146&gt;5000),"Qualified appraisal required (&gt; $5,000 non-cash). ","")&amp;IF(AND(D146="Securities",G146="N"),"Held ≤ 1 year — deduction limited to cost basis. ",""))="",IF(AND(E146&gt;=250,H146="Y"),"Acknowledgment on file","—"),TRIM(IF(AND(E146&gt;=250,H146&lt;&gt;"Y"),"Get written acknowledgment (≥ $250). ","")&amp;IF(AND(D146="Non-cash",E146&gt;5000),"Qualified appraisal required (&gt; $5,000 non-cash). ","")&amp;IF(AND(D146="Securities",G146="N"),"Held ≤ 1 year — deduction limited to cost basis. ",""))))</f>
        <v/>
      </c>
    </row>
    <row r="147" ht="18" customHeight="1">
      <c r="A147" s="22" t="n"/>
      <c r="B147" s="23" t="n"/>
      <c r="C147" s="23" t="n"/>
      <c r="D147" s="24" t="n"/>
      <c r="E147" s="25" t="n"/>
      <c r="F147" s="25" t="n"/>
      <c r="G147" s="26" t="n"/>
      <c r="H147" s="26" t="n"/>
      <c r="I147" s="27">
        <f>IF(OR(D147="",E147=""),"",IF(D147="Securities",IF(G147="N",MIN(E147,IF(F147="",E147,F147)),E147),E147))</f>
        <v/>
      </c>
      <c r="J147" s="28">
        <f>IF(E147="","",IF(TRIM(IF(AND(E147&gt;=250,H147&lt;&gt;"Y"),"Get written acknowledgment (≥ $250). ","")&amp;IF(AND(D147="Non-cash",E147&gt;5000),"Qualified appraisal required (&gt; $5,000 non-cash). ","")&amp;IF(AND(D147="Securities",G147="N"),"Held ≤ 1 year — deduction limited to cost basis. ",""))="",IF(AND(E147&gt;=250,H147="Y"),"Acknowledgment on file","—"),TRIM(IF(AND(E147&gt;=250,H147&lt;&gt;"Y"),"Get written acknowledgment (≥ $250). ","")&amp;IF(AND(D147="Non-cash",E147&gt;5000),"Qualified appraisal required (&gt; $5,000 non-cash). ","")&amp;IF(AND(D147="Securities",G147="N"),"Held ≤ 1 year — deduction limited to cost basis. ",""))))</f>
        <v/>
      </c>
    </row>
    <row r="148" ht="18" customHeight="1">
      <c r="A148" s="22" t="n"/>
      <c r="B148" s="23" t="n"/>
      <c r="C148" s="23" t="n"/>
      <c r="D148" s="24" t="n"/>
      <c r="E148" s="25" t="n"/>
      <c r="F148" s="25" t="n"/>
      <c r="G148" s="26" t="n"/>
      <c r="H148" s="26" t="n"/>
      <c r="I148" s="27">
        <f>IF(OR(D148="",E148=""),"",IF(D148="Securities",IF(G148="N",MIN(E148,IF(F148="",E148,F148)),E148),E148))</f>
        <v/>
      </c>
      <c r="J148" s="28">
        <f>IF(E148="","",IF(TRIM(IF(AND(E148&gt;=250,H148&lt;&gt;"Y"),"Get written acknowledgment (≥ $250). ","")&amp;IF(AND(D148="Non-cash",E148&gt;5000),"Qualified appraisal required (&gt; $5,000 non-cash). ","")&amp;IF(AND(D148="Securities",G148="N"),"Held ≤ 1 year — deduction limited to cost basis. ",""))="",IF(AND(E148&gt;=250,H148="Y"),"Acknowledgment on file","—"),TRIM(IF(AND(E148&gt;=250,H148&lt;&gt;"Y"),"Get written acknowledgment (≥ $250). ","")&amp;IF(AND(D148="Non-cash",E148&gt;5000),"Qualified appraisal required (&gt; $5,000 non-cash). ","")&amp;IF(AND(D148="Securities",G148="N"),"Held ≤ 1 year — deduction limited to cost basis. ",""))))</f>
        <v/>
      </c>
    </row>
    <row r="149" ht="18" customHeight="1">
      <c r="A149" s="22" t="n"/>
      <c r="B149" s="23" t="n"/>
      <c r="C149" s="23" t="n"/>
      <c r="D149" s="24" t="n"/>
      <c r="E149" s="25" t="n"/>
      <c r="F149" s="25" t="n"/>
      <c r="G149" s="26" t="n"/>
      <c r="H149" s="26" t="n"/>
      <c r="I149" s="27">
        <f>IF(OR(D149="",E149=""),"",IF(D149="Securities",IF(G149="N",MIN(E149,IF(F149="",E149,F149)),E149),E149))</f>
        <v/>
      </c>
      <c r="J149" s="28">
        <f>IF(E149="","",IF(TRIM(IF(AND(E149&gt;=250,H149&lt;&gt;"Y"),"Get written acknowledgment (≥ $250). ","")&amp;IF(AND(D149="Non-cash",E149&gt;5000),"Qualified appraisal required (&gt; $5,000 non-cash). ","")&amp;IF(AND(D149="Securities",G149="N"),"Held ≤ 1 year — deduction limited to cost basis. ",""))="",IF(AND(E149&gt;=250,H149="Y"),"Acknowledgment on file","—"),TRIM(IF(AND(E149&gt;=250,H149&lt;&gt;"Y"),"Get written acknowledgment (≥ $250). ","")&amp;IF(AND(D149="Non-cash",E149&gt;5000),"Qualified appraisal required (&gt; $5,000 non-cash). ","")&amp;IF(AND(D149="Securities",G149="N"),"Held ≤ 1 year — deduction limited to cost basis. ",""))))</f>
        <v/>
      </c>
    </row>
    <row r="150" ht="18" customHeight="1">
      <c r="A150" s="22" t="n"/>
      <c r="B150" s="23" t="n"/>
      <c r="C150" s="23" t="n"/>
      <c r="D150" s="24" t="n"/>
      <c r="E150" s="25" t="n"/>
      <c r="F150" s="25" t="n"/>
      <c r="G150" s="26" t="n"/>
      <c r="H150" s="26" t="n"/>
      <c r="I150" s="27">
        <f>IF(OR(D150="",E150=""),"",IF(D150="Securities",IF(G150="N",MIN(E150,IF(F150="",E150,F150)),E150),E150))</f>
        <v/>
      </c>
      <c r="J150" s="28">
        <f>IF(E150="","",IF(TRIM(IF(AND(E150&gt;=250,H150&lt;&gt;"Y"),"Get written acknowledgment (≥ $250). ","")&amp;IF(AND(D150="Non-cash",E150&gt;5000),"Qualified appraisal required (&gt; $5,000 non-cash). ","")&amp;IF(AND(D150="Securities",G150="N"),"Held ≤ 1 year — deduction limited to cost basis. ",""))="",IF(AND(E150&gt;=250,H150="Y"),"Acknowledgment on file","—"),TRIM(IF(AND(E150&gt;=250,H150&lt;&gt;"Y"),"Get written acknowledgment (≥ $250). ","")&amp;IF(AND(D150="Non-cash",E150&gt;5000),"Qualified appraisal required (&gt; $5,000 non-cash). ","")&amp;IF(AND(D150="Securities",G150="N"),"Held ≤ 1 year — deduction limited to cost basis. ",""))))</f>
        <v/>
      </c>
    </row>
    <row r="151" ht="18" customHeight="1">
      <c r="A151" s="22" t="n"/>
      <c r="B151" s="23" t="n"/>
      <c r="C151" s="23" t="n"/>
      <c r="D151" s="24" t="n"/>
      <c r="E151" s="25" t="n"/>
      <c r="F151" s="25" t="n"/>
      <c r="G151" s="26" t="n"/>
      <c r="H151" s="26" t="n"/>
      <c r="I151" s="27">
        <f>IF(OR(D151="",E151=""),"",IF(D151="Securities",IF(G151="N",MIN(E151,IF(F151="",E151,F151)),E151),E151))</f>
        <v/>
      </c>
      <c r="J151" s="28">
        <f>IF(E151="","",IF(TRIM(IF(AND(E151&gt;=250,H151&lt;&gt;"Y"),"Get written acknowledgment (≥ $250). ","")&amp;IF(AND(D151="Non-cash",E151&gt;5000),"Qualified appraisal required (&gt; $5,000 non-cash). ","")&amp;IF(AND(D151="Securities",G151="N"),"Held ≤ 1 year — deduction limited to cost basis. ",""))="",IF(AND(E151&gt;=250,H151="Y"),"Acknowledgment on file","—"),TRIM(IF(AND(E151&gt;=250,H151&lt;&gt;"Y"),"Get written acknowledgment (≥ $250). ","")&amp;IF(AND(D151="Non-cash",E151&gt;5000),"Qualified appraisal required (&gt; $5,000 non-cash). ","")&amp;IF(AND(D151="Securities",G151="N"),"Held ≤ 1 year — deduction limited to cost basis. ",""))))</f>
        <v/>
      </c>
    </row>
    <row r="152" ht="18" customHeight="1">
      <c r="A152" s="22" t="n"/>
      <c r="B152" s="23" t="n"/>
      <c r="C152" s="23" t="n"/>
      <c r="D152" s="24" t="n"/>
      <c r="E152" s="25" t="n"/>
      <c r="F152" s="25" t="n"/>
      <c r="G152" s="26" t="n"/>
      <c r="H152" s="26" t="n"/>
      <c r="I152" s="27">
        <f>IF(OR(D152="",E152=""),"",IF(D152="Securities",IF(G152="N",MIN(E152,IF(F152="",E152,F152)),E152),E152))</f>
        <v/>
      </c>
      <c r="J152" s="28">
        <f>IF(E152="","",IF(TRIM(IF(AND(E152&gt;=250,H152&lt;&gt;"Y"),"Get written acknowledgment (≥ $250). ","")&amp;IF(AND(D152="Non-cash",E152&gt;5000),"Qualified appraisal required (&gt; $5,000 non-cash). ","")&amp;IF(AND(D152="Securities",G152="N"),"Held ≤ 1 year — deduction limited to cost basis. ",""))="",IF(AND(E152&gt;=250,H152="Y"),"Acknowledgment on file","—"),TRIM(IF(AND(E152&gt;=250,H152&lt;&gt;"Y"),"Get written acknowledgment (≥ $250). ","")&amp;IF(AND(D152="Non-cash",E152&gt;5000),"Qualified appraisal required (&gt; $5,000 non-cash). ","")&amp;IF(AND(D152="Securities",G152="N"),"Held ≤ 1 year — deduction limited to cost basis. ",""))))</f>
        <v/>
      </c>
    </row>
    <row r="153" ht="18" customHeight="1">
      <c r="A153" s="22" t="n"/>
      <c r="B153" s="23" t="n"/>
      <c r="C153" s="23" t="n"/>
      <c r="D153" s="24" t="n"/>
      <c r="E153" s="25" t="n"/>
      <c r="F153" s="25" t="n"/>
      <c r="G153" s="26" t="n"/>
      <c r="H153" s="26" t="n"/>
      <c r="I153" s="27">
        <f>IF(OR(D153="",E153=""),"",IF(D153="Securities",IF(G153="N",MIN(E153,IF(F153="",E153,F153)),E153),E153))</f>
        <v/>
      </c>
      <c r="J153" s="28">
        <f>IF(E153="","",IF(TRIM(IF(AND(E153&gt;=250,H153&lt;&gt;"Y"),"Get written acknowledgment (≥ $250). ","")&amp;IF(AND(D153="Non-cash",E153&gt;5000),"Qualified appraisal required (&gt; $5,000 non-cash). ","")&amp;IF(AND(D153="Securities",G153="N"),"Held ≤ 1 year — deduction limited to cost basis. ",""))="",IF(AND(E153&gt;=250,H153="Y"),"Acknowledgment on file","—"),TRIM(IF(AND(E153&gt;=250,H153&lt;&gt;"Y"),"Get written acknowledgment (≥ $250). ","")&amp;IF(AND(D153="Non-cash",E153&gt;5000),"Qualified appraisal required (&gt; $5,000 non-cash). ","")&amp;IF(AND(D153="Securities",G153="N"),"Held ≤ 1 year — deduction limited to cost basis. ",""))))</f>
        <v/>
      </c>
    </row>
    <row r="154" ht="18" customHeight="1">
      <c r="A154" s="22" t="n"/>
      <c r="B154" s="23" t="n"/>
      <c r="C154" s="23" t="n"/>
      <c r="D154" s="24" t="n"/>
      <c r="E154" s="25" t="n"/>
      <c r="F154" s="25" t="n"/>
      <c r="G154" s="26" t="n"/>
      <c r="H154" s="26" t="n"/>
      <c r="I154" s="27">
        <f>IF(OR(D154="",E154=""),"",IF(D154="Securities",IF(G154="N",MIN(E154,IF(F154="",E154,F154)),E154),E154))</f>
        <v/>
      </c>
      <c r="J154" s="28">
        <f>IF(E154="","",IF(TRIM(IF(AND(E154&gt;=250,H154&lt;&gt;"Y"),"Get written acknowledgment (≥ $250). ","")&amp;IF(AND(D154="Non-cash",E154&gt;5000),"Qualified appraisal required (&gt; $5,000 non-cash). ","")&amp;IF(AND(D154="Securities",G154="N"),"Held ≤ 1 year — deduction limited to cost basis. ",""))="",IF(AND(E154&gt;=250,H154="Y"),"Acknowledgment on file","—"),TRIM(IF(AND(E154&gt;=250,H154&lt;&gt;"Y"),"Get written acknowledgment (≥ $250). ","")&amp;IF(AND(D154="Non-cash",E154&gt;5000),"Qualified appraisal required (&gt; $5,000 non-cash). ","")&amp;IF(AND(D154="Securities",G154="N"),"Held ≤ 1 year — deduction limited to cost basis. ",""))))</f>
        <v/>
      </c>
    </row>
    <row r="155" ht="18" customHeight="1">
      <c r="A155" s="22" t="n"/>
      <c r="B155" s="23" t="n"/>
      <c r="C155" s="23" t="n"/>
      <c r="D155" s="24" t="n"/>
      <c r="E155" s="25" t="n"/>
      <c r="F155" s="25" t="n"/>
      <c r="G155" s="26" t="n"/>
      <c r="H155" s="26" t="n"/>
      <c r="I155" s="27">
        <f>IF(OR(D155="",E155=""),"",IF(D155="Securities",IF(G155="N",MIN(E155,IF(F155="",E155,F155)),E155),E155))</f>
        <v/>
      </c>
      <c r="J155" s="28">
        <f>IF(E155="","",IF(TRIM(IF(AND(E155&gt;=250,H155&lt;&gt;"Y"),"Get written acknowledgment (≥ $250). ","")&amp;IF(AND(D155="Non-cash",E155&gt;5000),"Qualified appraisal required (&gt; $5,000 non-cash). ","")&amp;IF(AND(D155="Securities",G155="N"),"Held ≤ 1 year — deduction limited to cost basis. ",""))="",IF(AND(E155&gt;=250,H155="Y"),"Acknowledgment on file","—"),TRIM(IF(AND(E155&gt;=250,H155&lt;&gt;"Y"),"Get written acknowledgment (≥ $250). ","")&amp;IF(AND(D155="Non-cash",E155&gt;5000),"Qualified appraisal required (&gt; $5,000 non-cash). ","")&amp;IF(AND(D155="Securities",G155="N"),"Held ≤ 1 year — deduction limited to cost basis. ",""))))</f>
        <v/>
      </c>
    </row>
    <row r="156" ht="18" customHeight="1">
      <c r="A156" s="22" t="n"/>
      <c r="B156" s="23" t="n"/>
      <c r="C156" s="23" t="n"/>
      <c r="D156" s="24" t="n"/>
      <c r="E156" s="25" t="n"/>
      <c r="F156" s="25" t="n"/>
      <c r="G156" s="26" t="n"/>
      <c r="H156" s="26" t="n"/>
      <c r="I156" s="27">
        <f>IF(OR(D156="",E156=""),"",IF(D156="Securities",IF(G156="N",MIN(E156,IF(F156="",E156,F156)),E156),E156))</f>
        <v/>
      </c>
      <c r="J156" s="28">
        <f>IF(E156="","",IF(TRIM(IF(AND(E156&gt;=250,H156&lt;&gt;"Y"),"Get written acknowledgment (≥ $250). ","")&amp;IF(AND(D156="Non-cash",E156&gt;5000),"Qualified appraisal required (&gt; $5,000 non-cash). ","")&amp;IF(AND(D156="Securities",G156="N"),"Held ≤ 1 year — deduction limited to cost basis. ",""))="",IF(AND(E156&gt;=250,H156="Y"),"Acknowledgment on file","—"),TRIM(IF(AND(E156&gt;=250,H156&lt;&gt;"Y"),"Get written acknowledgment (≥ $250). ","")&amp;IF(AND(D156="Non-cash",E156&gt;5000),"Qualified appraisal required (&gt; $5,000 non-cash). ","")&amp;IF(AND(D156="Securities",G156="N"),"Held ≤ 1 year — deduction limited to cost basis. ",""))))</f>
        <v/>
      </c>
    </row>
    <row r="157" ht="18" customHeight="1">
      <c r="A157" s="22" t="n"/>
      <c r="B157" s="23" t="n"/>
      <c r="C157" s="23" t="n"/>
      <c r="D157" s="24" t="n"/>
      <c r="E157" s="25" t="n"/>
      <c r="F157" s="25" t="n"/>
      <c r="G157" s="26" t="n"/>
      <c r="H157" s="26" t="n"/>
      <c r="I157" s="27">
        <f>IF(OR(D157="",E157=""),"",IF(D157="Securities",IF(G157="N",MIN(E157,IF(F157="",E157,F157)),E157),E157))</f>
        <v/>
      </c>
      <c r="J157" s="28">
        <f>IF(E157="","",IF(TRIM(IF(AND(E157&gt;=250,H157&lt;&gt;"Y"),"Get written acknowledgment (≥ $250). ","")&amp;IF(AND(D157="Non-cash",E157&gt;5000),"Qualified appraisal required (&gt; $5,000 non-cash). ","")&amp;IF(AND(D157="Securities",G157="N"),"Held ≤ 1 year — deduction limited to cost basis. ",""))="",IF(AND(E157&gt;=250,H157="Y"),"Acknowledgment on file","—"),TRIM(IF(AND(E157&gt;=250,H157&lt;&gt;"Y"),"Get written acknowledgment (≥ $250). ","")&amp;IF(AND(D157="Non-cash",E157&gt;5000),"Qualified appraisal required (&gt; $5,000 non-cash). ","")&amp;IF(AND(D157="Securities",G157="N"),"Held ≤ 1 year — deduction limited to cost basis. ",""))))</f>
        <v/>
      </c>
    </row>
    <row r="158" ht="18" customHeight="1">
      <c r="A158" s="22" t="n"/>
      <c r="B158" s="23" t="n"/>
      <c r="C158" s="23" t="n"/>
      <c r="D158" s="24" t="n"/>
      <c r="E158" s="25" t="n"/>
      <c r="F158" s="25" t="n"/>
      <c r="G158" s="26" t="n"/>
      <c r="H158" s="26" t="n"/>
      <c r="I158" s="27">
        <f>IF(OR(D158="",E158=""),"",IF(D158="Securities",IF(G158="N",MIN(E158,IF(F158="",E158,F158)),E158),E158))</f>
        <v/>
      </c>
      <c r="J158" s="28">
        <f>IF(E158="","",IF(TRIM(IF(AND(E158&gt;=250,H158&lt;&gt;"Y"),"Get written acknowledgment (≥ $250). ","")&amp;IF(AND(D158="Non-cash",E158&gt;5000),"Qualified appraisal required (&gt; $5,000 non-cash). ","")&amp;IF(AND(D158="Securities",G158="N"),"Held ≤ 1 year — deduction limited to cost basis. ",""))="",IF(AND(E158&gt;=250,H158="Y"),"Acknowledgment on file","—"),TRIM(IF(AND(E158&gt;=250,H158&lt;&gt;"Y"),"Get written acknowledgment (≥ $250). ","")&amp;IF(AND(D158="Non-cash",E158&gt;5000),"Qualified appraisal required (&gt; $5,000 non-cash). ","")&amp;IF(AND(D158="Securities",G158="N"),"Held ≤ 1 year — deduction limited to cost basis. ",""))))</f>
        <v/>
      </c>
    </row>
    <row r="159" ht="22" customHeight="1">
      <c r="A159" s="29" t="n"/>
      <c r="B159" s="29" t="n"/>
      <c r="C159" s="29" t="n"/>
      <c r="D159" s="30" t="inlineStr">
        <is>
          <t>Totals</t>
        </is>
      </c>
      <c r="E159" s="31">
        <f>SUM(E9:E158)</f>
        <v/>
      </c>
      <c r="F159" s="29" t="n"/>
      <c r="G159" s="29" t="n"/>
      <c r="H159" s="29" t="n"/>
      <c r="I159" s="31">
        <f>SUM(I9:I158)</f>
        <v/>
      </c>
      <c r="J159" s="29" t="n"/>
    </row>
    <row r="161" ht="30" customHeight="1">
      <c r="A161" s="6"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2">
    <mergeCell ref="A6:J6"/>
    <mergeCell ref="A161:J161"/>
  </mergeCells>
  <conditionalFormatting sqref="F9:G158">
    <cfRule type="expression" priority="1" dxfId="0">
      <formula>AND($D9&lt;&gt;"",$D9&lt;&gt;"Securities")</formula>
    </cfRule>
  </conditionalFormatting>
  <conditionalFormatting sqref="J9:J158">
    <cfRule type="expression" priority="2" dxfId="1">
      <formula>AND($J9&lt;&gt;"",$J9&lt;&gt;"—",$J9&lt;&gt;"Acknowledgment on file")</formula>
    </cfRule>
    <cfRule type="expression" priority="3" dxfId="2">
      <formula>$J9="Acknowledgment on file"</formula>
    </cfRule>
  </conditionalFormatting>
  <dataValidations count="2">
    <dataValidation sqref="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showDropDown="0" showInputMessage="0" showErrorMessage="0" allowBlank="1" errorTitle="Type" error="Pick Cash, Non-cash, or Securities." type="list">
      <formula1>"Cash,Non-cash,Securities"</formula1>
    </dataValidation>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showDropDown="0" showInputMessage="0" showErrorMessage="0" allowBlank="1" errorTitle="Y or N" error="Pick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G184"/>
  <sheetViews>
    <sheetView showGridLines="0" showRowColHeaders="0" zoomScale="110" workbookViewId="0">
      <selection activeCell="A1" sqref="A1"/>
    </sheetView>
  </sheetViews>
  <sheetFormatPr baseColWidth="8" defaultRowHeight="15"/>
  <cols>
    <col width="12" customWidth="1" min="1" max="1"/>
    <col width="26" customWidth="1" min="2" max="2"/>
    <col width="26" customWidth="1" min="3" max="3"/>
    <col width="14" customWidth="1" min="4" max="4"/>
    <col width="14" customWidth="1" min="5" max="5"/>
    <col width="14" customWidth="1" min="6" max="6"/>
    <col width="36" customWidth="1" min="7" max="7"/>
  </cols>
  <sheetData>
    <row r="1" ht="10" customHeight="1">
      <c r="A1" s="1" t="n"/>
      <c r="B1" s="1" t="n"/>
      <c r="C1" s="1" t="n"/>
      <c r="D1" s="1" t="n"/>
      <c r="E1" s="1" t="n"/>
      <c r="F1" s="1" t="n"/>
      <c r="G1" s="1" t="n"/>
    </row>
    <row r="2" ht="40" customHeight="1">
      <c r="A2" s="1" t="n"/>
      <c r="B2" s="1" t="n"/>
      <c r="C2" s="1" t="n"/>
      <c r="D2" s="1" t="n"/>
      <c r="E2" s="1" t="n"/>
      <c r="F2" s="1" t="n"/>
      <c r="G2" s="2" t="inlineStr">
        <is>
          <t>Year-end summary</t>
        </is>
      </c>
    </row>
    <row r="3" ht="14" customHeight="1">
      <c r="A3" s="1" t="n"/>
      <c r="B3" s="1" t="n"/>
      <c r="C3" s="1" t="n"/>
      <c r="D3" s="1" t="n"/>
      <c r="E3" s="1" t="n"/>
      <c r="F3" s="1" t="n"/>
      <c r="G3" s="3" t="inlineStr">
        <is>
          <t>Tax year 2026   ·   Powered by BlueLine Advisors</t>
        </is>
      </c>
    </row>
    <row r="4" ht="10" customHeight="1"/>
    <row r="5">
      <c r="A5" s="32" t="inlineStr">
        <is>
          <t>Charitable Donation Log · year-to-date summary · prepared for discussion with Grott Luker &amp; Co.</t>
        </is>
      </c>
    </row>
    <row r="7" ht="16" customHeight="1">
      <c r="A7" s="33" t="inlineStr">
        <is>
          <t>ESTIMATED DEDUCTIBLE CONTRIBUTIONS</t>
        </is>
      </c>
    </row>
    <row r="8" ht="38" customHeight="1">
      <c r="A8" s="34">
        <f>Gifts!I159</f>
        <v/>
      </c>
    </row>
    <row r="9" ht="16" customHeight="1">
      <c r="A9" s="35">
        <f>COUNTIF(Gifts!$E$9:$E$158,"&gt;0")&amp;IF(COUNTIF(Gifts!$E$9:$E$158,"&gt;0")=1," gift · "," gifts · ")&amp;TEXT(Gifts!E159,"$#,##0")&amp;" given"&amp;IF(SUMPRODUCT((Gifts!$D$9:$D$158="Securities")*(Gifts!$G$9:$G$158="Y")*(Gifts!$E$9:$E$158-Gifts!$F$9:$F$158))&gt;0," · "&amp;TEXT(SUMPRODUCT((Gifts!$D$9:$D$158="Securities")*(Gifts!$G$9:$G$158="Y")*(Gifts!$E$9:$E$158-Gifts!$F$9:$F$158)),"$#,##0")&amp;" of capital gain avoided","")</f>
        <v/>
      </c>
    </row>
    <row r="11" ht="16" customHeight="1">
      <c r="A11" s="33" t="inlineStr">
        <is>
          <t>CASH / CHECK / CARD</t>
        </is>
      </c>
      <c r="C11" s="33" t="inlineStr">
        <is>
          <t>NON-CASH (GOODS)</t>
        </is>
      </c>
      <c r="E11" s="33" t="inlineStr">
        <is>
          <t>APPRECIATED SECURITIES</t>
        </is>
      </c>
    </row>
    <row r="12" ht="30" customHeight="1">
      <c r="A12" s="36">
        <f>SUMIFS(Gifts!$E$9:$E$158,Gifts!$D$9:$D$158,"Cash")</f>
        <v/>
      </c>
      <c r="C12" s="36">
        <f>SUMIFS(Gifts!$E$9:$E$158,Gifts!$D$9:$D$158,"Non-cash")</f>
        <v/>
      </c>
      <c r="E12" s="36">
        <f>SUMIFS(Gifts!$E$9:$E$158,Gifts!$D$9:$D$158,"Securities")</f>
        <v/>
      </c>
    </row>
    <row r="13" ht="16" customHeight="1">
      <c r="A13" s="35">
        <f>COUNTIFS(Gifts!$D$9:$D$158,"Cash",Gifts!$E$9:$E$158,"&gt;0")&amp;" gifts"</f>
        <v/>
      </c>
      <c r="C13" s="35">
        <f>COUNTIFS(Gifts!$D$9:$D$158,"Non-cash",Gifts!$E$9:$E$158,"&gt;0")&amp;" gifts"</f>
        <v/>
      </c>
      <c r="E13" s="35">
        <f>COUNTIFS(Gifts!$D$9:$D$158,"Securities",Gifts!$E$9:$E$158,"&gt;0")&amp;" gifts"</f>
        <v/>
      </c>
    </row>
    <row r="15" ht="16" customHeight="1">
      <c r="A15" s="33" t="inlineStr">
        <is>
          <t>FORM 8283</t>
        </is>
      </c>
      <c r="C15" s="33" t="inlineStr">
        <is>
          <t>APPRAISALS</t>
        </is>
      </c>
      <c r="E15" s="33" t="inlineStr">
        <is>
          <t>RECEIPTS MISSING</t>
        </is>
      </c>
    </row>
    <row r="16" ht="30" customHeight="1">
      <c r="A16" s="37">
        <f>IF(SUMIFS(Gifts!$E$9:$E$158,Gifts!$D$9:$D$158,"&lt;&gt;Cash")&gt;500,"Required","Not required")</f>
        <v/>
      </c>
      <c r="C16" s="38">
        <f>COUNTIFS(Gifts!$D$9:$D$158,"Non-cash",Gifts!$E$9:$E$158,"&gt;5000")</f>
        <v/>
      </c>
      <c r="E16" s="38">
        <f>COUNTIFS(Gifts!$E$9:$E$158,"&gt;=250",Gifts!$H$9:$H$158,"&lt;&gt;Y")</f>
        <v/>
      </c>
    </row>
    <row r="17" ht="16" customHeight="1">
      <c r="A17" s="35">
        <f>"Non-cash total "&amp;TEXT(SUMIFS(Gifts!$E$9:$E$158,Gifts!$D$9:$D$158,"&lt;&gt;Cash"),"$#,##0")</f>
        <v/>
      </c>
      <c r="C17" s="35" t="inlineStr">
        <is>
          <t>non-cash items over $5,000</t>
        </is>
      </c>
      <c r="E17" s="35" t="inlineStr">
        <is>
          <t>gifts of $250+ without acknowledgment</t>
        </is>
      </c>
    </row>
    <row r="19" ht="24" customHeight="1">
      <c r="A19" s="10" t="inlineStr">
        <is>
          <t>Gifts</t>
        </is>
      </c>
      <c r="B19" s="11" t="n"/>
      <c r="C19" s="11" t="n"/>
      <c r="D19" s="11" t="n"/>
      <c r="E19" s="11" t="n"/>
      <c r="F19" s="11" t="n"/>
      <c r="G19" s="11" t="n"/>
    </row>
    <row r="20" ht="18" customHeight="1">
      <c r="A20" s="14" t="inlineStr">
        <is>
          <t>DATE</t>
        </is>
      </c>
      <c r="B20" s="15" t="inlineStr">
        <is>
          <t>ORGANIZATION</t>
        </is>
      </c>
      <c r="C20" s="15" t="inlineStr">
        <is>
          <t>DESCRIPTION</t>
        </is>
      </c>
      <c r="D20" s="15" t="inlineStr">
        <is>
          <t>TYPE</t>
        </is>
      </c>
      <c r="E20" s="16" t="inlineStr">
        <is>
          <t>AMOUNT / FMV</t>
        </is>
      </c>
      <c r="F20" s="16" t="inlineStr">
        <is>
          <t>DEDUCTIBLE</t>
        </is>
      </c>
      <c r="G20" s="15" t="inlineStr">
        <is>
          <t>DOCUMENTATION</t>
        </is>
      </c>
    </row>
    <row r="21" ht="16" customHeight="1">
      <c r="A21" s="39">
        <f>IF(Gifts!A9="","",Gifts!A9)</f>
        <v/>
      </c>
      <c r="B21" s="40">
        <f>IF(Gifts!B9="","",Gifts!B9)</f>
        <v/>
      </c>
      <c r="C21" s="40">
        <f>IF(Gifts!C9="","",Gifts!C9)</f>
        <v/>
      </c>
      <c r="D21" s="40">
        <f>IF(Gifts!D9="","",Gifts!D9)</f>
        <v/>
      </c>
      <c r="E21" s="41">
        <f>IF(Gifts!E9="","",Gifts!E9)</f>
        <v/>
      </c>
      <c r="F21" s="41">
        <f>IF(Gifts!I9="","",Gifts!I9)</f>
        <v/>
      </c>
      <c r="G21" s="42">
        <f>IF(Gifts!J9="","",Gifts!J9)</f>
        <v/>
      </c>
    </row>
    <row r="22" ht="16" customHeight="1">
      <c r="A22" s="39">
        <f>IF(Gifts!A10="","",Gifts!A10)</f>
        <v/>
      </c>
      <c r="B22" s="40">
        <f>IF(Gifts!B10="","",Gifts!B10)</f>
        <v/>
      </c>
      <c r="C22" s="40">
        <f>IF(Gifts!C10="","",Gifts!C10)</f>
        <v/>
      </c>
      <c r="D22" s="40">
        <f>IF(Gifts!D10="","",Gifts!D10)</f>
        <v/>
      </c>
      <c r="E22" s="41">
        <f>IF(Gifts!E10="","",Gifts!E10)</f>
        <v/>
      </c>
      <c r="F22" s="41">
        <f>IF(Gifts!I10="","",Gifts!I10)</f>
        <v/>
      </c>
      <c r="G22" s="42">
        <f>IF(Gifts!J10="","",Gifts!J10)</f>
        <v/>
      </c>
    </row>
    <row r="23" ht="16" customHeight="1">
      <c r="A23" s="39">
        <f>IF(Gifts!A11="","",Gifts!A11)</f>
        <v/>
      </c>
      <c r="B23" s="40">
        <f>IF(Gifts!B11="","",Gifts!B11)</f>
        <v/>
      </c>
      <c r="C23" s="40">
        <f>IF(Gifts!C11="","",Gifts!C11)</f>
        <v/>
      </c>
      <c r="D23" s="40">
        <f>IF(Gifts!D11="","",Gifts!D11)</f>
        <v/>
      </c>
      <c r="E23" s="41">
        <f>IF(Gifts!E11="","",Gifts!E11)</f>
        <v/>
      </c>
      <c r="F23" s="41">
        <f>IF(Gifts!I11="","",Gifts!I11)</f>
        <v/>
      </c>
      <c r="G23" s="42">
        <f>IF(Gifts!J11="","",Gifts!J11)</f>
        <v/>
      </c>
    </row>
    <row r="24" ht="16" customHeight="1">
      <c r="A24" s="39">
        <f>IF(Gifts!A12="","",Gifts!A12)</f>
        <v/>
      </c>
      <c r="B24" s="40">
        <f>IF(Gifts!B12="","",Gifts!B12)</f>
        <v/>
      </c>
      <c r="C24" s="40">
        <f>IF(Gifts!C12="","",Gifts!C12)</f>
        <v/>
      </c>
      <c r="D24" s="40">
        <f>IF(Gifts!D12="","",Gifts!D12)</f>
        <v/>
      </c>
      <c r="E24" s="41">
        <f>IF(Gifts!E12="","",Gifts!E12)</f>
        <v/>
      </c>
      <c r="F24" s="41">
        <f>IF(Gifts!I12="","",Gifts!I12)</f>
        <v/>
      </c>
      <c r="G24" s="42">
        <f>IF(Gifts!J12="","",Gifts!J12)</f>
        <v/>
      </c>
    </row>
    <row r="25" ht="16" customHeight="1">
      <c r="A25" s="39">
        <f>IF(Gifts!A13="","",Gifts!A13)</f>
        <v/>
      </c>
      <c r="B25" s="40">
        <f>IF(Gifts!B13="","",Gifts!B13)</f>
        <v/>
      </c>
      <c r="C25" s="40">
        <f>IF(Gifts!C13="","",Gifts!C13)</f>
        <v/>
      </c>
      <c r="D25" s="40">
        <f>IF(Gifts!D13="","",Gifts!D13)</f>
        <v/>
      </c>
      <c r="E25" s="41">
        <f>IF(Gifts!E13="","",Gifts!E13)</f>
        <v/>
      </c>
      <c r="F25" s="41">
        <f>IF(Gifts!I13="","",Gifts!I13)</f>
        <v/>
      </c>
      <c r="G25" s="42">
        <f>IF(Gifts!J13="","",Gifts!J13)</f>
        <v/>
      </c>
    </row>
    <row r="26" ht="16" customHeight="1">
      <c r="A26" s="39">
        <f>IF(Gifts!A14="","",Gifts!A14)</f>
        <v/>
      </c>
      <c r="B26" s="40">
        <f>IF(Gifts!B14="","",Gifts!B14)</f>
        <v/>
      </c>
      <c r="C26" s="40">
        <f>IF(Gifts!C14="","",Gifts!C14)</f>
        <v/>
      </c>
      <c r="D26" s="40">
        <f>IF(Gifts!D14="","",Gifts!D14)</f>
        <v/>
      </c>
      <c r="E26" s="41">
        <f>IF(Gifts!E14="","",Gifts!E14)</f>
        <v/>
      </c>
      <c r="F26" s="41">
        <f>IF(Gifts!I14="","",Gifts!I14)</f>
        <v/>
      </c>
      <c r="G26" s="42">
        <f>IF(Gifts!J14="","",Gifts!J14)</f>
        <v/>
      </c>
    </row>
    <row r="27" ht="16" customHeight="1">
      <c r="A27" s="39">
        <f>IF(Gifts!A15="","",Gifts!A15)</f>
        <v/>
      </c>
      <c r="B27" s="40">
        <f>IF(Gifts!B15="","",Gifts!B15)</f>
        <v/>
      </c>
      <c r="C27" s="40">
        <f>IF(Gifts!C15="","",Gifts!C15)</f>
        <v/>
      </c>
      <c r="D27" s="40">
        <f>IF(Gifts!D15="","",Gifts!D15)</f>
        <v/>
      </c>
      <c r="E27" s="41">
        <f>IF(Gifts!E15="","",Gifts!E15)</f>
        <v/>
      </c>
      <c r="F27" s="41">
        <f>IF(Gifts!I15="","",Gifts!I15)</f>
        <v/>
      </c>
      <c r="G27" s="42">
        <f>IF(Gifts!J15="","",Gifts!J15)</f>
        <v/>
      </c>
    </row>
    <row r="28" ht="16" customHeight="1">
      <c r="A28" s="39">
        <f>IF(Gifts!A16="","",Gifts!A16)</f>
        <v/>
      </c>
      <c r="B28" s="40">
        <f>IF(Gifts!B16="","",Gifts!B16)</f>
        <v/>
      </c>
      <c r="C28" s="40">
        <f>IF(Gifts!C16="","",Gifts!C16)</f>
        <v/>
      </c>
      <c r="D28" s="40">
        <f>IF(Gifts!D16="","",Gifts!D16)</f>
        <v/>
      </c>
      <c r="E28" s="41">
        <f>IF(Gifts!E16="","",Gifts!E16)</f>
        <v/>
      </c>
      <c r="F28" s="41">
        <f>IF(Gifts!I16="","",Gifts!I16)</f>
        <v/>
      </c>
      <c r="G28" s="42">
        <f>IF(Gifts!J16="","",Gifts!J16)</f>
        <v/>
      </c>
    </row>
    <row r="29" ht="16" customHeight="1">
      <c r="A29" s="39">
        <f>IF(Gifts!A17="","",Gifts!A17)</f>
        <v/>
      </c>
      <c r="B29" s="40">
        <f>IF(Gifts!B17="","",Gifts!B17)</f>
        <v/>
      </c>
      <c r="C29" s="40">
        <f>IF(Gifts!C17="","",Gifts!C17)</f>
        <v/>
      </c>
      <c r="D29" s="40">
        <f>IF(Gifts!D17="","",Gifts!D17)</f>
        <v/>
      </c>
      <c r="E29" s="41">
        <f>IF(Gifts!E17="","",Gifts!E17)</f>
        <v/>
      </c>
      <c r="F29" s="41">
        <f>IF(Gifts!I17="","",Gifts!I17)</f>
        <v/>
      </c>
      <c r="G29" s="42">
        <f>IF(Gifts!J17="","",Gifts!J17)</f>
        <v/>
      </c>
    </row>
    <row r="30" ht="16" customHeight="1">
      <c r="A30" s="39">
        <f>IF(Gifts!A18="","",Gifts!A18)</f>
        <v/>
      </c>
      <c r="B30" s="40">
        <f>IF(Gifts!B18="","",Gifts!B18)</f>
        <v/>
      </c>
      <c r="C30" s="40">
        <f>IF(Gifts!C18="","",Gifts!C18)</f>
        <v/>
      </c>
      <c r="D30" s="40">
        <f>IF(Gifts!D18="","",Gifts!D18)</f>
        <v/>
      </c>
      <c r="E30" s="41">
        <f>IF(Gifts!E18="","",Gifts!E18)</f>
        <v/>
      </c>
      <c r="F30" s="41">
        <f>IF(Gifts!I18="","",Gifts!I18)</f>
        <v/>
      </c>
      <c r="G30" s="42">
        <f>IF(Gifts!J18="","",Gifts!J18)</f>
        <v/>
      </c>
    </row>
    <row r="31" ht="16" customHeight="1">
      <c r="A31" s="39">
        <f>IF(Gifts!A19="","",Gifts!A19)</f>
        <v/>
      </c>
      <c r="B31" s="40">
        <f>IF(Gifts!B19="","",Gifts!B19)</f>
        <v/>
      </c>
      <c r="C31" s="40">
        <f>IF(Gifts!C19="","",Gifts!C19)</f>
        <v/>
      </c>
      <c r="D31" s="40">
        <f>IF(Gifts!D19="","",Gifts!D19)</f>
        <v/>
      </c>
      <c r="E31" s="41">
        <f>IF(Gifts!E19="","",Gifts!E19)</f>
        <v/>
      </c>
      <c r="F31" s="41">
        <f>IF(Gifts!I19="","",Gifts!I19)</f>
        <v/>
      </c>
      <c r="G31" s="42">
        <f>IF(Gifts!J19="","",Gifts!J19)</f>
        <v/>
      </c>
    </row>
    <row r="32" ht="16" customHeight="1">
      <c r="A32" s="39">
        <f>IF(Gifts!A20="","",Gifts!A20)</f>
        <v/>
      </c>
      <c r="B32" s="40">
        <f>IF(Gifts!B20="","",Gifts!B20)</f>
        <v/>
      </c>
      <c r="C32" s="40">
        <f>IF(Gifts!C20="","",Gifts!C20)</f>
        <v/>
      </c>
      <c r="D32" s="40">
        <f>IF(Gifts!D20="","",Gifts!D20)</f>
        <v/>
      </c>
      <c r="E32" s="41">
        <f>IF(Gifts!E20="","",Gifts!E20)</f>
        <v/>
      </c>
      <c r="F32" s="41">
        <f>IF(Gifts!I20="","",Gifts!I20)</f>
        <v/>
      </c>
      <c r="G32" s="42">
        <f>IF(Gifts!J20="","",Gifts!J20)</f>
        <v/>
      </c>
    </row>
    <row r="33" ht="16" customHeight="1">
      <c r="A33" s="39">
        <f>IF(Gifts!A21="","",Gifts!A21)</f>
        <v/>
      </c>
      <c r="B33" s="40">
        <f>IF(Gifts!B21="","",Gifts!B21)</f>
        <v/>
      </c>
      <c r="C33" s="40">
        <f>IF(Gifts!C21="","",Gifts!C21)</f>
        <v/>
      </c>
      <c r="D33" s="40">
        <f>IF(Gifts!D21="","",Gifts!D21)</f>
        <v/>
      </c>
      <c r="E33" s="41">
        <f>IF(Gifts!E21="","",Gifts!E21)</f>
        <v/>
      </c>
      <c r="F33" s="41">
        <f>IF(Gifts!I21="","",Gifts!I21)</f>
        <v/>
      </c>
      <c r="G33" s="42">
        <f>IF(Gifts!J21="","",Gifts!J21)</f>
        <v/>
      </c>
    </row>
    <row r="34" ht="16" customHeight="1">
      <c r="A34" s="39">
        <f>IF(Gifts!A22="","",Gifts!A22)</f>
        <v/>
      </c>
      <c r="B34" s="40">
        <f>IF(Gifts!B22="","",Gifts!B22)</f>
        <v/>
      </c>
      <c r="C34" s="40">
        <f>IF(Gifts!C22="","",Gifts!C22)</f>
        <v/>
      </c>
      <c r="D34" s="40">
        <f>IF(Gifts!D22="","",Gifts!D22)</f>
        <v/>
      </c>
      <c r="E34" s="41">
        <f>IF(Gifts!E22="","",Gifts!E22)</f>
        <v/>
      </c>
      <c r="F34" s="41">
        <f>IF(Gifts!I22="","",Gifts!I22)</f>
        <v/>
      </c>
      <c r="G34" s="42">
        <f>IF(Gifts!J22="","",Gifts!J22)</f>
        <v/>
      </c>
    </row>
    <row r="35" ht="16" customHeight="1">
      <c r="A35" s="39">
        <f>IF(Gifts!A23="","",Gifts!A23)</f>
        <v/>
      </c>
      <c r="B35" s="40">
        <f>IF(Gifts!B23="","",Gifts!B23)</f>
        <v/>
      </c>
      <c r="C35" s="40">
        <f>IF(Gifts!C23="","",Gifts!C23)</f>
        <v/>
      </c>
      <c r="D35" s="40">
        <f>IF(Gifts!D23="","",Gifts!D23)</f>
        <v/>
      </c>
      <c r="E35" s="41">
        <f>IF(Gifts!E23="","",Gifts!E23)</f>
        <v/>
      </c>
      <c r="F35" s="41">
        <f>IF(Gifts!I23="","",Gifts!I23)</f>
        <v/>
      </c>
      <c r="G35" s="42">
        <f>IF(Gifts!J23="","",Gifts!J23)</f>
        <v/>
      </c>
    </row>
    <row r="36" ht="16" customHeight="1">
      <c r="A36" s="39">
        <f>IF(Gifts!A24="","",Gifts!A24)</f>
        <v/>
      </c>
      <c r="B36" s="40">
        <f>IF(Gifts!B24="","",Gifts!B24)</f>
        <v/>
      </c>
      <c r="C36" s="40">
        <f>IF(Gifts!C24="","",Gifts!C24)</f>
        <v/>
      </c>
      <c r="D36" s="40">
        <f>IF(Gifts!D24="","",Gifts!D24)</f>
        <v/>
      </c>
      <c r="E36" s="41">
        <f>IF(Gifts!E24="","",Gifts!E24)</f>
        <v/>
      </c>
      <c r="F36" s="41">
        <f>IF(Gifts!I24="","",Gifts!I24)</f>
        <v/>
      </c>
      <c r="G36" s="42">
        <f>IF(Gifts!J24="","",Gifts!J24)</f>
        <v/>
      </c>
    </row>
    <row r="37" ht="16" customHeight="1">
      <c r="A37" s="39">
        <f>IF(Gifts!A25="","",Gifts!A25)</f>
        <v/>
      </c>
      <c r="B37" s="40">
        <f>IF(Gifts!B25="","",Gifts!B25)</f>
        <v/>
      </c>
      <c r="C37" s="40">
        <f>IF(Gifts!C25="","",Gifts!C25)</f>
        <v/>
      </c>
      <c r="D37" s="40">
        <f>IF(Gifts!D25="","",Gifts!D25)</f>
        <v/>
      </c>
      <c r="E37" s="41">
        <f>IF(Gifts!E25="","",Gifts!E25)</f>
        <v/>
      </c>
      <c r="F37" s="41">
        <f>IF(Gifts!I25="","",Gifts!I25)</f>
        <v/>
      </c>
      <c r="G37" s="42">
        <f>IF(Gifts!J25="","",Gifts!J25)</f>
        <v/>
      </c>
    </row>
    <row r="38" ht="16" customHeight="1">
      <c r="A38" s="39">
        <f>IF(Gifts!A26="","",Gifts!A26)</f>
        <v/>
      </c>
      <c r="B38" s="40">
        <f>IF(Gifts!B26="","",Gifts!B26)</f>
        <v/>
      </c>
      <c r="C38" s="40">
        <f>IF(Gifts!C26="","",Gifts!C26)</f>
        <v/>
      </c>
      <c r="D38" s="40">
        <f>IF(Gifts!D26="","",Gifts!D26)</f>
        <v/>
      </c>
      <c r="E38" s="41">
        <f>IF(Gifts!E26="","",Gifts!E26)</f>
        <v/>
      </c>
      <c r="F38" s="41">
        <f>IF(Gifts!I26="","",Gifts!I26)</f>
        <v/>
      </c>
      <c r="G38" s="42">
        <f>IF(Gifts!J26="","",Gifts!J26)</f>
        <v/>
      </c>
    </row>
    <row r="39" ht="16" customHeight="1">
      <c r="A39" s="39">
        <f>IF(Gifts!A27="","",Gifts!A27)</f>
        <v/>
      </c>
      <c r="B39" s="40">
        <f>IF(Gifts!B27="","",Gifts!B27)</f>
        <v/>
      </c>
      <c r="C39" s="40">
        <f>IF(Gifts!C27="","",Gifts!C27)</f>
        <v/>
      </c>
      <c r="D39" s="40">
        <f>IF(Gifts!D27="","",Gifts!D27)</f>
        <v/>
      </c>
      <c r="E39" s="41">
        <f>IF(Gifts!E27="","",Gifts!E27)</f>
        <v/>
      </c>
      <c r="F39" s="41">
        <f>IF(Gifts!I27="","",Gifts!I27)</f>
        <v/>
      </c>
      <c r="G39" s="42">
        <f>IF(Gifts!J27="","",Gifts!J27)</f>
        <v/>
      </c>
    </row>
    <row r="40" ht="16" customHeight="1">
      <c r="A40" s="39">
        <f>IF(Gifts!A28="","",Gifts!A28)</f>
        <v/>
      </c>
      <c r="B40" s="40">
        <f>IF(Gifts!B28="","",Gifts!B28)</f>
        <v/>
      </c>
      <c r="C40" s="40">
        <f>IF(Gifts!C28="","",Gifts!C28)</f>
        <v/>
      </c>
      <c r="D40" s="40">
        <f>IF(Gifts!D28="","",Gifts!D28)</f>
        <v/>
      </c>
      <c r="E40" s="41">
        <f>IF(Gifts!E28="","",Gifts!E28)</f>
        <v/>
      </c>
      <c r="F40" s="41">
        <f>IF(Gifts!I28="","",Gifts!I28)</f>
        <v/>
      </c>
      <c r="G40" s="42">
        <f>IF(Gifts!J28="","",Gifts!J28)</f>
        <v/>
      </c>
    </row>
    <row r="41" ht="16" customHeight="1">
      <c r="A41" s="39">
        <f>IF(Gifts!A29="","",Gifts!A29)</f>
        <v/>
      </c>
      <c r="B41" s="40">
        <f>IF(Gifts!B29="","",Gifts!B29)</f>
        <v/>
      </c>
      <c r="C41" s="40">
        <f>IF(Gifts!C29="","",Gifts!C29)</f>
        <v/>
      </c>
      <c r="D41" s="40">
        <f>IF(Gifts!D29="","",Gifts!D29)</f>
        <v/>
      </c>
      <c r="E41" s="41">
        <f>IF(Gifts!E29="","",Gifts!E29)</f>
        <v/>
      </c>
      <c r="F41" s="41">
        <f>IF(Gifts!I29="","",Gifts!I29)</f>
        <v/>
      </c>
      <c r="G41" s="42">
        <f>IF(Gifts!J29="","",Gifts!J29)</f>
        <v/>
      </c>
    </row>
    <row r="42" ht="16" customHeight="1">
      <c r="A42" s="39">
        <f>IF(Gifts!A30="","",Gifts!A30)</f>
        <v/>
      </c>
      <c r="B42" s="40">
        <f>IF(Gifts!B30="","",Gifts!B30)</f>
        <v/>
      </c>
      <c r="C42" s="40">
        <f>IF(Gifts!C30="","",Gifts!C30)</f>
        <v/>
      </c>
      <c r="D42" s="40">
        <f>IF(Gifts!D30="","",Gifts!D30)</f>
        <v/>
      </c>
      <c r="E42" s="41">
        <f>IF(Gifts!E30="","",Gifts!E30)</f>
        <v/>
      </c>
      <c r="F42" s="41">
        <f>IF(Gifts!I30="","",Gifts!I30)</f>
        <v/>
      </c>
      <c r="G42" s="42">
        <f>IF(Gifts!J30="","",Gifts!J30)</f>
        <v/>
      </c>
    </row>
    <row r="43" ht="16" customHeight="1">
      <c r="A43" s="39">
        <f>IF(Gifts!A31="","",Gifts!A31)</f>
        <v/>
      </c>
      <c r="B43" s="40">
        <f>IF(Gifts!B31="","",Gifts!B31)</f>
        <v/>
      </c>
      <c r="C43" s="40">
        <f>IF(Gifts!C31="","",Gifts!C31)</f>
        <v/>
      </c>
      <c r="D43" s="40">
        <f>IF(Gifts!D31="","",Gifts!D31)</f>
        <v/>
      </c>
      <c r="E43" s="41">
        <f>IF(Gifts!E31="","",Gifts!E31)</f>
        <v/>
      </c>
      <c r="F43" s="41">
        <f>IF(Gifts!I31="","",Gifts!I31)</f>
        <v/>
      </c>
      <c r="G43" s="42">
        <f>IF(Gifts!J31="","",Gifts!J31)</f>
        <v/>
      </c>
    </row>
    <row r="44" ht="16" customHeight="1">
      <c r="A44" s="39">
        <f>IF(Gifts!A32="","",Gifts!A32)</f>
        <v/>
      </c>
      <c r="B44" s="40">
        <f>IF(Gifts!B32="","",Gifts!B32)</f>
        <v/>
      </c>
      <c r="C44" s="40">
        <f>IF(Gifts!C32="","",Gifts!C32)</f>
        <v/>
      </c>
      <c r="D44" s="40">
        <f>IF(Gifts!D32="","",Gifts!D32)</f>
        <v/>
      </c>
      <c r="E44" s="41">
        <f>IF(Gifts!E32="","",Gifts!E32)</f>
        <v/>
      </c>
      <c r="F44" s="41">
        <f>IF(Gifts!I32="","",Gifts!I32)</f>
        <v/>
      </c>
      <c r="G44" s="42">
        <f>IF(Gifts!J32="","",Gifts!J32)</f>
        <v/>
      </c>
    </row>
    <row r="45" ht="16" customHeight="1">
      <c r="A45" s="39">
        <f>IF(Gifts!A33="","",Gifts!A33)</f>
        <v/>
      </c>
      <c r="B45" s="40">
        <f>IF(Gifts!B33="","",Gifts!B33)</f>
        <v/>
      </c>
      <c r="C45" s="40">
        <f>IF(Gifts!C33="","",Gifts!C33)</f>
        <v/>
      </c>
      <c r="D45" s="40">
        <f>IF(Gifts!D33="","",Gifts!D33)</f>
        <v/>
      </c>
      <c r="E45" s="41">
        <f>IF(Gifts!E33="","",Gifts!E33)</f>
        <v/>
      </c>
      <c r="F45" s="41">
        <f>IF(Gifts!I33="","",Gifts!I33)</f>
        <v/>
      </c>
      <c r="G45" s="42">
        <f>IF(Gifts!J33="","",Gifts!J33)</f>
        <v/>
      </c>
    </row>
    <row r="46" ht="16" customHeight="1">
      <c r="A46" s="39">
        <f>IF(Gifts!A34="","",Gifts!A34)</f>
        <v/>
      </c>
      <c r="B46" s="40">
        <f>IF(Gifts!B34="","",Gifts!B34)</f>
        <v/>
      </c>
      <c r="C46" s="40">
        <f>IF(Gifts!C34="","",Gifts!C34)</f>
        <v/>
      </c>
      <c r="D46" s="40">
        <f>IF(Gifts!D34="","",Gifts!D34)</f>
        <v/>
      </c>
      <c r="E46" s="41">
        <f>IF(Gifts!E34="","",Gifts!E34)</f>
        <v/>
      </c>
      <c r="F46" s="41">
        <f>IF(Gifts!I34="","",Gifts!I34)</f>
        <v/>
      </c>
      <c r="G46" s="42">
        <f>IF(Gifts!J34="","",Gifts!J34)</f>
        <v/>
      </c>
    </row>
    <row r="47" ht="16" customHeight="1">
      <c r="A47" s="39">
        <f>IF(Gifts!A35="","",Gifts!A35)</f>
        <v/>
      </c>
      <c r="B47" s="40">
        <f>IF(Gifts!B35="","",Gifts!B35)</f>
        <v/>
      </c>
      <c r="C47" s="40">
        <f>IF(Gifts!C35="","",Gifts!C35)</f>
        <v/>
      </c>
      <c r="D47" s="40">
        <f>IF(Gifts!D35="","",Gifts!D35)</f>
        <v/>
      </c>
      <c r="E47" s="41">
        <f>IF(Gifts!E35="","",Gifts!E35)</f>
        <v/>
      </c>
      <c r="F47" s="41">
        <f>IF(Gifts!I35="","",Gifts!I35)</f>
        <v/>
      </c>
      <c r="G47" s="42">
        <f>IF(Gifts!J35="","",Gifts!J35)</f>
        <v/>
      </c>
    </row>
    <row r="48" ht="16" customHeight="1">
      <c r="A48" s="39">
        <f>IF(Gifts!A36="","",Gifts!A36)</f>
        <v/>
      </c>
      <c r="B48" s="40">
        <f>IF(Gifts!B36="","",Gifts!B36)</f>
        <v/>
      </c>
      <c r="C48" s="40">
        <f>IF(Gifts!C36="","",Gifts!C36)</f>
        <v/>
      </c>
      <c r="D48" s="40">
        <f>IF(Gifts!D36="","",Gifts!D36)</f>
        <v/>
      </c>
      <c r="E48" s="41">
        <f>IF(Gifts!E36="","",Gifts!E36)</f>
        <v/>
      </c>
      <c r="F48" s="41">
        <f>IF(Gifts!I36="","",Gifts!I36)</f>
        <v/>
      </c>
      <c r="G48" s="42">
        <f>IF(Gifts!J36="","",Gifts!J36)</f>
        <v/>
      </c>
    </row>
    <row r="49" ht="16" customHeight="1">
      <c r="A49" s="39">
        <f>IF(Gifts!A37="","",Gifts!A37)</f>
        <v/>
      </c>
      <c r="B49" s="40">
        <f>IF(Gifts!B37="","",Gifts!B37)</f>
        <v/>
      </c>
      <c r="C49" s="40">
        <f>IF(Gifts!C37="","",Gifts!C37)</f>
        <v/>
      </c>
      <c r="D49" s="40">
        <f>IF(Gifts!D37="","",Gifts!D37)</f>
        <v/>
      </c>
      <c r="E49" s="41">
        <f>IF(Gifts!E37="","",Gifts!E37)</f>
        <v/>
      </c>
      <c r="F49" s="41">
        <f>IF(Gifts!I37="","",Gifts!I37)</f>
        <v/>
      </c>
      <c r="G49" s="42">
        <f>IF(Gifts!J37="","",Gifts!J37)</f>
        <v/>
      </c>
    </row>
    <row r="50" ht="16" customHeight="1">
      <c r="A50" s="39">
        <f>IF(Gifts!A38="","",Gifts!A38)</f>
        <v/>
      </c>
      <c r="B50" s="40">
        <f>IF(Gifts!B38="","",Gifts!B38)</f>
        <v/>
      </c>
      <c r="C50" s="40">
        <f>IF(Gifts!C38="","",Gifts!C38)</f>
        <v/>
      </c>
      <c r="D50" s="40">
        <f>IF(Gifts!D38="","",Gifts!D38)</f>
        <v/>
      </c>
      <c r="E50" s="41">
        <f>IF(Gifts!E38="","",Gifts!E38)</f>
        <v/>
      </c>
      <c r="F50" s="41">
        <f>IF(Gifts!I38="","",Gifts!I38)</f>
        <v/>
      </c>
      <c r="G50" s="42">
        <f>IF(Gifts!J38="","",Gifts!J38)</f>
        <v/>
      </c>
    </row>
    <row r="51" ht="16" customHeight="1">
      <c r="A51" s="39">
        <f>IF(Gifts!A39="","",Gifts!A39)</f>
        <v/>
      </c>
      <c r="B51" s="40">
        <f>IF(Gifts!B39="","",Gifts!B39)</f>
        <v/>
      </c>
      <c r="C51" s="40">
        <f>IF(Gifts!C39="","",Gifts!C39)</f>
        <v/>
      </c>
      <c r="D51" s="40">
        <f>IF(Gifts!D39="","",Gifts!D39)</f>
        <v/>
      </c>
      <c r="E51" s="41">
        <f>IF(Gifts!E39="","",Gifts!E39)</f>
        <v/>
      </c>
      <c r="F51" s="41">
        <f>IF(Gifts!I39="","",Gifts!I39)</f>
        <v/>
      </c>
      <c r="G51" s="42">
        <f>IF(Gifts!J39="","",Gifts!J39)</f>
        <v/>
      </c>
    </row>
    <row r="52" ht="16" customHeight="1">
      <c r="A52" s="39">
        <f>IF(Gifts!A40="","",Gifts!A40)</f>
        <v/>
      </c>
      <c r="B52" s="40">
        <f>IF(Gifts!B40="","",Gifts!B40)</f>
        <v/>
      </c>
      <c r="C52" s="40">
        <f>IF(Gifts!C40="","",Gifts!C40)</f>
        <v/>
      </c>
      <c r="D52" s="40">
        <f>IF(Gifts!D40="","",Gifts!D40)</f>
        <v/>
      </c>
      <c r="E52" s="41">
        <f>IF(Gifts!E40="","",Gifts!E40)</f>
        <v/>
      </c>
      <c r="F52" s="41">
        <f>IF(Gifts!I40="","",Gifts!I40)</f>
        <v/>
      </c>
      <c r="G52" s="42">
        <f>IF(Gifts!J40="","",Gifts!J40)</f>
        <v/>
      </c>
    </row>
    <row r="53" ht="16" customHeight="1">
      <c r="A53" s="39">
        <f>IF(Gifts!A41="","",Gifts!A41)</f>
        <v/>
      </c>
      <c r="B53" s="40">
        <f>IF(Gifts!B41="","",Gifts!B41)</f>
        <v/>
      </c>
      <c r="C53" s="40">
        <f>IF(Gifts!C41="","",Gifts!C41)</f>
        <v/>
      </c>
      <c r="D53" s="40">
        <f>IF(Gifts!D41="","",Gifts!D41)</f>
        <v/>
      </c>
      <c r="E53" s="41">
        <f>IF(Gifts!E41="","",Gifts!E41)</f>
        <v/>
      </c>
      <c r="F53" s="41">
        <f>IF(Gifts!I41="","",Gifts!I41)</f>
        <v/>
      </c>
      <c r="G53" s="42">
        <f>IF(Gifts!J41="","",Gifts!J41)</f>
        <v/>
      </c>
    </row>
    <row r="54" ht="16" customHeight="1">
      <c r="A54" s="39">
        <f>IF(Gifts!A42="","",Gifts!A42)</f>
        <v/>
      </c>
      <c r="B54" s="40">
        <f>IF(Gifts!B42="","",Gifts!B42)</f>
        <v/>
      </c>
      <c r="C54" s="40">
        <f>IF(Gifts!C42="","",Gifts!C42)</f>
        <v/>
      </c>
      <c r="D54" s="40">
        <f>IF(Gifts!D42="","",Gifts!D42)</f>
        <v/>
      </c>
      <c r="E54" s="41">
        <f>IF(Gifts!E42="","",Gifts!E42)</f>
        <v/>
      </c>
      <c r="F54" s="41">
        <f>IF(Gifts!I42="","",Gifts!I42)</f>
        <v/>
      </c>
      <c r="G54" s="42">
        <f>IF(Gifts!J42="","",Gifts!J42)</f>
        <v/>
      </c>
    </row>
    <row r="55" ht="16" customHeight="1">
      <c r="A55" s="39">
        <f>IF(Gifts!A43="","",Gifts!A43)</f>
        <v/>
      </c>
      <c r="B55" s="40">
        <f>IF(Gifts!B43="","",Gifts!B43)</f>
        <v/>
      </c>
      <c r="C55" s="40">
        <f>IF(Gifts!C43="","",Gifts!C43)</f>
        <v/>
      </c>
      <c r="D55" s="40">
        <f>IF(Gifts!D43="","",Gifts!D43)</f>
        <v/>
      </c>
      <c r="E55" s="41">
        <f>IF(Gifts!E43="","",Gifts!E43)</f>
        <v/>
      </c>
      <c r="F55" s="41">
        <f>IF(Gifts!I43="","",Gifts!I43)</f>
        <v/>
      </c>
      <c r="G55" s="42">
        <f>IF(Gifts!J43="","",Gifts!J43)</f>
        <v/>
      </c>
    </row>
    <row r="56" ht="16" customHeight="1">
      <c r="A56" s="39">
        <f>IF(Gifts!A44="","",Gifts!A44)</f>
        <v/>
      </c>
      <c r="B56" s="40">
        <f>IF(Gifts!B44="","",Gifts!B44)</f>
        <v/>
      </c>
      <c r="C56" s="40">
        <f>IF(Gifts!C44="","",Gifts!C44)</f>
        <v/>
      </c>
      <c r="D56" s="40">
        <f>IF(Gifts!D44="","",Gifts!D44)</f>
        <v/>
      </c>
      <c r="E56" s="41">
        <f>IF(Gifts!E44="","",Gifts!E44)</f>
        <v/>
      </c>
      <c r="F56" s="41">
        <f>IF(Gifts!I44="","",Gifts!I44)</f>
        <v/>
      </c>
      <c r="G56" s="42">
        <f>IF(Gifts!J44="","",Gifts!J44)</f>
        <v/>
      </c>
    </row>
    <row r="57" ht="16" customHeight="1">
      <c r="A57" s="39">
        <f>IF(Gifts!A45="","",Gifts!A45)</f>
        <v/>
      </c>
      <c r="B57" s="40">
        <f>IF(Gifts!B45="","",Gifts!B45)</f>
        <v/>
      </c>
      <c r="C57" s="40">
        <f>IF(Gifts!C45="","",Gifts!C45)</f>
        <v/>
      </c>
      <c r="D57" s="40">
        <f>IF(Gifts!D45="","",Gifts!D45)</f>
        <v/>
      </c>
      <c r="E57" s="41">
        <f>IF(Gifts!E45="","",Gifts!E45)</f>
        <v/>
      </c>
      <c r="F57" s="41">
        <f>IF(Gifts!I45="","",Gifts!I45)</f>
        <v/>
      </c>
      <c r="G57" s="42">
        <f>IF(Gifts!J45="","",Gifts!J45)</f>
        <v/>
      </c>
    </row>
    <row r="58" ht="16" customHeight="1">
      <c r="A58" s="39">
        <f>IF(Gifts!A46="","",Gifts!A46)</f>
        <v/>
      </c>
      <c r="B58" s="40">
        <f>IF(Gifts!B46="","",Gifts!B46)</f>
        <v/>
      </c>
      <c r="C58" s="40">
        <f>IF(Gifts!C46="","",Gifts!C46)</f>
        <v/>
      </c>
      <c r="D58" s="40">
        <f>IF(Gifts!D46="","",Gifts!D46)</f>
        <v/>
      </c>
      <c r="E58" s="41">
        <f>IF(Gifts!E46="","",Gifts!E46)</f>
        <v/>
      </c>
      <c r="F58" s="41">
        <f>IF(Gifts!I46="","",Gifts!I46)</f>
        <v/>
      </c>
      <c r="G58" s="42">
        <f>IF(Gifts!J46="","",Gifts!J46)</f>
        <v/>
      </c>
    </row>
    <row r="59" ht="16" customHeight="1">
      <c r="A59" s="39">
        <f>IF(Gifts!A47="","",Gifts!A47)</f>
        <v/>
      </c>
      <c r="B59" s="40">
        <f>IF(Gifts!B47="","",Gifts!B47)</f>
        <v/>
      </c>
      <c r="C59" s="40">
        <f>IF(Gifts!C47="","",Gifts!C47)</f>
        <v/>
      </c>
      <c r="D59" s="40">
        <f>IF(Gifts!D47="","",Gifts!D47)</f>
        <v/>
      </c>
      <c r="E59" s="41">
        <f>IF(Gifts!E47="","",Gifts!E47)</f>
        <v/>
      </c>
      <c r="F59" s="41">
        <f>IF(Gifts!I47="","",Gifts!I47)</f>
        <v/>
      </c>
      <c r="G59" s="42">
        <f>IF(Gifts!J47="","",Gifts!J47)</f>
        <v/>
      </c>
    </row>
    <row r="60" ht="16" customHeight="1">
      <c r="A60" s="39">
        <f>IF(Gifts!A48="","",Gifts!A48)</f>
        <v/>
      </c>
      <c r="B60" s="40">
        <f>IF(Gifts!B48="","",Gifts!B48)</f>
        <v/>
      </c>
      <c r="C60" s="40">
        <f>IF(Gifts!C48="","",Gifts!C48)</f>
        <v/>
      </c>
      <c r="D60" s="40">
        <f>IF(Gifts!D48="","",Gifts!D48)</f>
        <v/>
      </c>
      <c r="E60" s="41">
        <f>IF(Gifts!E48="","",Gifts!E48)</f>
        <v/>
      </c>
      <c r="F60" s="41">
        <f>IF(Gifts!I48="","",Gifts!I48)</f>
        <v/>
      </c>
      <c r="G60" s="42">
        <f>IF(Gifts!J48="","",Gifts!J48)</f>
        <v/>
      </c>
    </row>
    <row r="61" ht="16" customHeight="1">
      <c r="A61" s="39">
        <f>IF(Gifts!A49="","",Gifts!A49)</f>
        <v/>
      </c>
      <c r="B61" s="40">
        <f>IF(Gifts!B49="","",Gifts!B49)</f>
        <v/>
      </c>
      <c r="C61" s="40">
        <f>IF(Gifts!C49="","",Gifts!C49)</f>
        <v/>
      </c>
      <c r="D61" s="40">
        <f>IF(Gifts!D49="","",Gifts!D49)</f>
        <v/>
      </c>
      <c r="E61" s="41">
        <f>IF(Gifts!E49="","",Gifts!E49)</f>
        <v/>
      </c>
      <c r="F61" s="41">
        <f>IF(Gifts!I49="","",Gifts!I49)</f>
        <v/>
      </c>
      <c r="G61" s="42">
        <f>IF(Gifts!J49="","",Gifts!J49)</f>
        <v/>
      </c>
    </row>
    <row r="62" ht="16" customHeight="1">
      <c r="A62" s="39">
        <f>IF(Gifts!A50="","",Gifts!A50)</f>
        <v/>
      </c>
      <c r="B62" s="40">
        <f>IF(Gifts!B50="","",Gifts!B50)</f>
        <v/>
      </c>
      <c r="C62" s="40">
        <f>IF(Gifts!C50="","",Gifts!C50)</f>
        <v/>
      </c>
      <c r="D62" s="40">
        <f>IF(Gifts!D50="","",Gifts!D50)</f>
        <v/>
      </c>
      <c r="E62" s="41">
        <f>IF(Gifts!E50="","",Gifts!E50)</f>
        <v/>
      </c>
      <c r="F62" s="41">
        <f>IF(Gifts!I50="","",Gifts!I50)</f>
        <v/>
      </c>
      <c r="G62" s="42">
        <f>IF(Gifts!J50="","",Gifts!J50)</f>
        <v/>
      </c>
    </row>
    <row r="63" ht="16" customHeight="1">
      <c r="A63" s="39">
        <f>IF(Gifts!A51="","",Gifts!A51)</f>
        <v/>
      </c>
      <c r="B63" s="40">
        <f>IF(Gifts!B51="","",Gifts!B51)</f>
        <v/>
      </c>
      <c r="C63" s="40">
        <f>IF(Gifts!C51="","",Gifts!C51)</f>
        <v/>
      </c>
      <c r="D63" s="40">
        <f>IF(Gifts!D51="","",Gifts!D51)</f>
        <v/>
      </c>
      <c r="E63" s="41">
        <f>IF(Gifts!E51="","",Gifts!E51)</f>
        <v/>
      </c>
      <c r="F63" s="41">
        <f>IF(Gifts!I51="","",Gifts!I51)</f>
        <v/>
      </c>
      <c r="G63" s="42">
        <f>IF(Gifts!J51="","",Gifts!J51)</f>
        <v/>
      </c>
    </row>
    <row r="64" ht="16" customHeight="1">
      <c r="A64" s="39">
        <f>IF(Gifts!A52="","",Gifts!A52)</f>
        <v/>
      </c>
      <c r="B64" s="40">
        <f>IF(Gifts!B52="","",Gifts!B52)</f>
        <v/>
      </c>
      <c r="C64" s="40">
        <f>IF(Gifts!C52="","",Gifts!C52)</f>
        <v/>
      </c>
      <c r="D64" s="40">
        <f>IF(Gifts!D52="","",Gifts!D52)</f>
        <v/>
      </c>
      <c r="E64" s="41">
        <f>IF(Gifts!E52="","",Gifts!E52)</f>
        <v/>
      </c>
      <c r="F64" s="41">
        <f>IF(Gifts!I52="","",Gifts!I52)</f>
        <v/>
      </c>
      <c r="G64" s="42">
        <f>IF(Gifts!J52="","",Gifts!J52)</f>
        <v/>
      </c>
    </row>
    <row r="65" ht="16" customHeight="1">
      <c r="A65" s="39">
        <f>IF(Gifts!A53="","",Gifts!A53)</f>
        <v/>
      </c>
      <c r="B65" s="40">
        <f>IF(Gifts!B53="","",Gifts!B53)</f>
        <v/>
      </c>
      <c r="C65" s="40">
        <f>IF(Gifts!C53="","",Gifts!C53)</f>
        <v/>
      </c>
      <c r="D65" s="40">
        <f>IF(Gifts!D53="","",Gifts!D53)</f>
        <v/>
      </c>
      <c r="E65" s="41">
        <f>IF(Gifts!E53="","",Gifts!E53)</f>
        <v/>
      </c>
      <c r="F65" s="41">
        <f>IF(Gifts!I53="","",Gifts!I53)</f>
        <v/>
      </c>
      <c r="G65" s="42">
        <f>IF(Gifts!J53="","",Gifts!J53)</f>
        <v/>
      </c>
    </row>
    <row r="66" ht="16" customHeight="1">
      <c r="A66" s="39">
        <f>IF(Gifts!A54="","",Gifts!A54)</f>
        <v/>
      </c>
      <c r="B66" s="40">
        <f>IF(Gifts!B54="","",Gifts!B54)</f>
        <v/>
      </c>
      <c r="C66" s="40">
        <f>IF(Gifts!C54="","",Gifts!C54)</f>
        <v/>
      </c>
      <c r="D66" s="40">
        <f>IF(Gifts!D54="","",Gifts!D54)</f>
        <v/>
      </c>
      <c r="E66" s="41">
        <f>IF(Gifts!E54="","",Gifts!E54)</f>
        <v/>
      </c>
      <c r="F66" s="41">
        <f>IF(Gifts!I54="","",Gifts!I54)</f>
        <v/>
      </c>
      <c r="G66" s="42">
        <f>IF(Gifts!J54="","",Gifts!J54)</f>
        <v/>
      </c>
    </row>
    <row r="67" ht="16" customHeight="1">
      <c r="A67" s="39">
        <f>IF(Gifts!A55="","",Gifts!A55)</f>
        <v/>
      </c>
      <c r="B67" s="40">
        <f>IF(Gifts!B55="","",Gifts!B55)</f>
        <v/>
      </c>
      <c r="C67" s="40">
        <f>IF(Gifts!C55="","",Gifts!C55)</f>
        <v/>
      </c>
      <c r="D67" s="40">
        <f>IF(Gifts!D55="","",Gifts!D55)</f>
        <v/>
      </c>
      <c r="E67" s="41">
        <f>IF(Gifts!E55="","",Gifts!E55)</f>
        <v/>
      </c>
      <c r="F67" s="41">
        <f>IF(Gifts!I55="","",Gifts!I55)</f>
        <v/>
      </c>
      <c r="G67" s="42">
        <f>IF(Gifts!J55="","",Gifts!J55)</f>
        <v/>
      </c>
    </row>
    <row r="68" ht="16" customHeight="1">
      <c r="A68" s="39">
        <f>IF(Gifts!A56="","",Gifts!A56)</f>
        <v/>
      </c>
      <c r="B68" s="40">
        <f>IF(Gifts!B56="","",Gifts!B56)</f>
        <v/>
      </c>
      <c r="C68" s="40">
        <f>IF(Gifts!C56="","",Gifts!C56)</f>
        <v/>
      </c>
      <c r="D68" s="40">
        <f>IF(Gifts!D56="","",Gifts!D56)</f>
        <v/>
      </c>
      <c r="E68" s="41">
        <f>IF(Gifts!E56="","",Gifts!E56)</f>
        <v/>
      </c>
      <c r="F68" s="41">
        <f>IF(Gifts!I56="","",Gifts!I56)</f>
        <v/>
      </c>
      <c r="G68" s="42">
        <f>IF(Gifts!J56="","",Gifts!J56)</f>
        <v/>
      </c>
    </row>
    <row r="69" ht="16" customHeight="1">
      <c r="A69" s="39">
        <f>IF(Gifts!A57="","",Gifts!A57)</f>
        <v/>
      </c>
      <c r="B69" s="40">
        <f>IF(Gifts!B57="","",Gifts!B57)</f>
        <v/>
      </c>
      <c r="C69" s="40">
        <f>IF(Gifts!C57="","",Gifts!C57)</f>
        <v/>
      </c>
      <c r="D69" s="40">
        <f>IF(Gifts!D57="","",Gifts!D57)</f>
        <v/>
      </c>
      <c r="E69" s="41">
        <f>IF(Gifts!E57="","",Gifts!E57)</f>
        <v/>
      </c>
      <c r="F69" s="41">
        <f>IF(Gifts!I57="","",Gifts!I57)</f>
        <v/>
      </c>
      <c r="G69" s="42">
        <f>IF(Gifts!J57="","",Gifts!J57)</f>
        <v/>
      </c>
    </row>
    <row r="70" ht="16" customHeight="1">
      <c r="A70" s="39">
        <f>IF(Gifts!A58="","",Gifts!A58)</f>
        <v/>
      </c>
      <c r="B70" s="40">
        <f>IF(Gifts!B58="","",Gifts!B58)</f>
        <v/>
      </c>
      <c r="C70" s="40">
        <f>IF(Gifts!C58="","",Gifts!C58)</f>
        <v/>
      </c>
      <c r="D70" s="40">
        <f>IF(Gifts!D58="","",Gifts!D58)</f>
        <v/>
      </c>
      <c r="E70" s="41">
        <f>IF(Gifts!E58="","",Gifts!E58)</f>
        <v/>
      </c>
      <c r="F70" s="41">
        <f>IF(Gifts!I58="","",Gifts!I58)</f>
        <v/>
      </c>
      <c r="G70" s="42">
        <f>IF(Gifts!J58="","",Gifts!J58)</f>
        <v/>
      </c>
    </row>
    <row r="71" ht="16" customHeight="1">
      <c r="A71" s="39">
        <f>IF(Gifts!A59="","",Gifts!A59)</f>
        <v/>
      </c>
      <c r="B71" s="40">
        <f>IF(Gifts!B59="","",Gifts!B59)</f>
        <v/>
      </c>
      <c r="C71" s="40">
        <f>IF(Gifts!C59="","",Gifts!C59)</f>
        <v/>
      </c>
      <c r="D71" s="40">
        <f>IF(Gifts!D59="","",Gifts!D59)</f>
        <v/>
      </c>
      <c r="E71" s="41">
        <f>IF(Gifts!E59="","",Gifts!E59)</f>
        <v/>
      </c>
      <c r="F71" s="41">
        <f>IF(Gifts!I59="","",Gifts!I59)</f>
        <v/>
      </c>
      <c r="G71" s="42">
        <f>IF(Gifts!J59="","",Gifts!J59)</f>
        <v/>
      </c>
    </row>
    <row r="72" ht="16" customHeight="1">
      <c r="A72" s="39">
        <f>IF(Gifts!A60="","",Gifts!A60)</f>
        <v/>
      </c>
      <c r="B72" s="40">
        <f>IF(Gifts!B60="","",Gifts!B60)</f>
        <v/>
      </c>
      <c r="C72" s="40">
        <f>IF(Gifts!C60="","",Gifts!C60)</f>
        <v/>
      </c>
      <c r="D72" s="40">
        <f>IF(Gifts!D60="","",Gifts!D60)</f>
        <v/>
      </c>
      <c r="E72" s="41">
        <f>IF(Gifts!E60="","",Gifts!E60)</f>
        <v/>
      </c>
      <c r="F72" s="41">
        <f>IF(Gifts!I60="","",Gifts!I60)</f>
        <v/>
      </c>
      <c r="G72" s="42">
        <f>IF(Gifts!J60="","",Gifts!J60)</f>
        <v/>
      </c>
    </row>
    <row r="73" ht="16" customHeight="1">
      <c r="A73" s="39">
        <f>IF(Gifts!A61="","",Gifts!A61)</f>
        <v/>
      </c>
      <c r="B73" s="40">
        <f>IF(Gifts!B61="","",Gifts!B61)</f>
        <v/>
      </c>
      <c r="C73" s="40">
        <f>IF(Gifts!C61="","",Gifts!C61)</f>
        <v/>
      </c>
      <c r="D73" s="40">
        <f>IF(Gifts!D61="","",Gifts!D61)</f>
        <v/>
      </c>
      <c r="E73" s="41">
        <f>IF(Gifts!E61="","",Gifts!E61)</f>
        <v/>
      </c>
      <c r="F73" s="41">
        <f>IF(Gifts!I61="","",Gifts!I61)</f>
        <v/>
      </c>
      <c r="G73" s="42">
        <f>IF(Gifts!J61="","",Gifts!J61)</f>
        <v/>
      </c>
    </row>
    <row r="74" ht="16" customHeight="1">
      <c r="A74" s="39">
        <f>IF(Gifts!A62="","",Gifts!A62)</f>
        <v/>
      </c>
      <c r="B74" s="40">
        <f>IF(Gifts!B62="","",Gifts!B62)</f>
        <v/>
      </c>
      <c r="C74" s="40">
        <f>IF(Gifts!C62="","",Gifts!C62)</f>
        <v/>
      </c>
      <c r="D74" s="40">
        <f>IF(Gifts!D62="","",Gifts!D62)</f>
        <v/>
      </c>
      <c r="E74" s="41">
        <f>IF(Gifts!E62="","",Gifts!E62)</f>
        <v/>
      </c>
      <c r="F74" s="41">
        <f>IF(Gifts!I62="","",Gifts!I62)</f>
        <v/>
      </c>
      <c r="G74" s="42">
        <f>IF(Gifts!J62="","",Gifts!J62)</f>
        <v/>
      </c>
    </row>
    <row r="75" ht="16" customHeight="1">
      <c r="A75" s="39">
        <f>IF(Gifts!A63="","",Gifts!A63)</f>
        <v/>
      </c>
      <c r="B75" s="40">
        <f>IF(Gifts!B63="","",Gifts!B63)</f>
        <v/>
      </c>
      <c r="C75" s="40">
        <f>IF(Gifts!C63="","",Gifts!C63)</f>
        <v/>
      </c>
      <c r="D75" s="40">
        <f>IF(Gifts!D63="","",Gifts!D63)</f>
        <v/>
      </c>
      <c r="E75" s="41">
        <f>IF(Gifts!E63="","",Gifts!E63)</f>
        <v/>
      </c>
      <c r="F75" s="41">
        <f>IF(Gifts!I63="","",Gifts!I63)</f>
        <v/>
      </c>
      <c r="G75" s="42">
        <f>IF(Gifts!J63="","",Gifts!J63)</f>
        <v/>
      </c>
    </row>
    <row r="76" ht="16" customHeight="1">
      <c r="A76" s="39">
        <f>IF(Gifts!A64="","",Gifts!A64)</f>
        <v/>
      </c>
      <c r="B76" s="40">
        <f>IF(Gifts!B64="","",Gifts!B64)</f>
        <v/>
      </c>
      <c r="C76" s="40">
        <f>IF(Gifts!C64="","",Gifts!C64)</f>
        <v/>
      </c>
      <c r="D76" s="40">
        <f>IF(Gifts!D64="","",Gifts!D64)</f>
        <v/>
      </c>
      <c r="E76" s="41">
        <f>IF(Gifts!E64="","",Gifts!E64)</f>
        <v/>
      </c>
      <c r="F76" s="41">
        <f>IF(Gifts!I64="","",Gifts!I64)</f>
        <v/>
      </c>
      <c r="G76" s="42">
        <f>IF(Gifts!J64="","",Gifts!J64)</f>
        <v/>
      </c>
    </row>
    <row r="77" ht="16" customHeight="1">
      <c r="A77" s="39">
        <f>IF(Gifts!A65="","",Gifts!A65)</f>
        <v/>
      </c>
      <c r="B77" s="40">
        <f>IF(Gifts!B65="","",Gifts!B65)</f>
        <v/>
      </c>
      <c r="C77" s="40">
        <f>IF(Gifts!C65="","",Gifts!C65)</f>
        <v/>
      </c>
      <c r="D77" s="40">
        <f>IF(Gifts!D65="","",Gifts!D65)</f>
        <v/>
      </c>
      <c r="E77" s="41">
        <f>IF(Gifts!E65="","",Gifts!E65)</f>
        <v/>
      </c>
      <c r="F77" s="41">
        <f>IF(Gifts!I65="","",Gifts!I65)</f>
        <v/>
      </c>
      <c r="G77" s="42">
        <f>IF(Gifts!J65="","",Gifts!J65)</f>
        <v/>
      </c>
    </row>
    <row r="78" ht="16" customHeight="1">
      <c r="A78" s="39">
        <f>IF(Gifts!A66="","",Gifts!A66)</f>
        <v/>
      </c>
      <c r="B78" s="40">
        <f>IF(Gifts!B66="","",Gifts!B66)</f>
        <v/>
      </c>
      <c r="C78" s="40">
        <f>IF(Gifts!C66="","",Gifts!C66)</f>
        <v/>
      </c>
      <c r="D78" s="40">
        <f>IF(Gifts!D66="","",Gifts!D66)</f>
        <v/>
      </c>
      <c r="E78" s="41">
        <f>IF(Gifts!E66="","",Gifts!E66)</f>
        <v/>
      </c>
      <c r="F78" s="41">
        <f>IF(Gifts!I66="","",Gifts!I66)</f>
        <v/>
      </c>
      <c r="G78" s="42">
        <f>IF(Gifts!J66="","",Gifts!J66)</f>
        <v/>
      </c>
    </row>
    <row r="79" ht="16" customHeight="1">
      <c r="A79" s="39">
        <f>IF(Gifts!A67="","",Gifts!A67)</f>
        <v/>
      </c>
      <c r="B79" s="40">
        <f>IF(Gifts!B67="","",Gifts!B67)</f>
        <v/>
      </c>
      <c r="C79" s="40">
        <f>IF(Gifts!C67="","",Gifts!C67)</f>
        <v/>
      </c>
      <c r="D79" s="40">
        <f>IF(Gifts!D67="","",Gifts!D67)</f>
        <v/>
      </c>
      <c r="E79" s="41">
        <f>IF(Gifts!E67="","",Gifts!E67)</f>
        <v/>
      </c>
      <c r="F79" s="41">
        <f>IF(Gifts!I67="","",Gifts!I67)</f>
        <v/>
      </c>
      <c r="G79" s="42">
        <f>IF(Gifts!J67="","",Gifts!J67)</f>
        <v/>
      </c>
    </row>
    <row r="80" ht="16" customHeight="1">
      <c r="A80" s="39">
        <f>IF(Gifts!A68="","",Gifts!A68)</f>
        <v/>
      </c>
      <c r="B80" s="40">
        <f>IF(Gifts!B68="","",Gifts!B68)</f>
        <v/>
      </c>
      <c r="C80" s="40">
        <f>IF(Gifts!C68="","",Gifts!C68)</f>
        <v/>
      </c>
      <c r="D80" s="40">
        <f>IF(Gifts!D68="","",Gifts!D68)</f>
        <v/>
      </c>
      <c r="E80" s="41">
        <f>IF(Gifts!E68="","",Gifts!E68)</f>
        <v/>
      </c>
      <c r="F80" s="41">
        <f>IF(Gifts!I68="","",Gifts!I68)</f>
        <v/>
      </c>
      <c r="G80" s="42">
        <f>IF(Gifts!J68="","",Gifts!J68)</f>
        <v/>
      </c>
    </row>
    <row r="81" ht="16" customHeight="1">
      <c r="A81" s="39">
        <f>IF(Gifts!A69="","",Gifts!A69)</f>
        <v/>
      </c>
      <c r="B81" s="40">
        <f>IF(Gifts!B69="","",Gifts!B69)</f>
        <v/>
      </c>
      <c r="C81" s="40">
        <f>IF(Gifts!C69="","",Gifts!C69)</f>
        <v/>
      </c>
      <c r="D81" s="40">
        <f>IF(Gifts!D69="","",Gifts!D69)</f>
        <v/>
      </c>
      <c r="E81" s="41">
        <f>IF(Gifts!E69="","",Gifts!E69)</f>
        <v/>
      </c>
      <c r="F81" s="41">
        <f>IF(Gifts!I69="","",Gifts!I69)</f>
        <v/>
      </c>
      <c r="G81" s="42">
        <f>IF(Gifts!J69="","",Gifts!J69)</f>
        <v/>
      </c>
    </row>
    <row r="82" ht="16" customHeight="1">
      <c r="A82" s="39">
        <f>IF(Gifts!A70="","",Gifts!A70)</f>
        <v/>
      </c>
      <c r="B82" s="40">
        <f>IF(Gifts!B70="","",Gifts!B70)</f>
        <v/>
      </c>
      <c r="C82" s="40">
        <f>IF(Gifts!C70="","",Gifts!C70)</f>
        <v/>
      </c>
      <c r="D82" s="40">
        <f>IF(Gifts!D70="","",Gifts!D70)</f>
        <v/>
      </c>
      <c r="E82" s="41">
        <f>IF(Gifts!E70="","",Gifts!E70)</f>
        <v/>
      </c>
      <c r="F82" s="41">
        <f>IF(Gifts!I70="","",Gifts!I70)</f>
        <v/>
      </c>
      <c r="G82" s="42">
        <f>IF(Gifts!J70="","",Gifts!J70)</f>
        <v/>
      </c>
    </row>
    <row r="83" ht="16" customHeight="1">
      <c r="A83" s="39">
        <f>IF(Gifts!A71="","",Gifts!A71)</f>
        <v/>
      </c>
      <c r="B83" s="40">
        <f>IF(Gifts!B71="","",Gifts!B71)</f>
        <v/>
      </c>
      <c r="C83" s="40">
        <f>IF(Gifts!C71="","",Gifts!C71)</f>
        <v/>
      </c>
      <c r="D83" s="40">
        <f>IF(Gifts!D71="","",Gifts!D71)</f>
        <v/>
      </c>
      <c r="E83" s="41">
        <f>IF(Gifts!E71="","",Gifts!E71)</f>
        <v/>
      </c>
      <c r="F83" s="41">
        <f>IF(Gifts!I71="","",Gifts!I71)</f>
        <v/>
      </c>
      <c r="G83" s="42">
        <f>IF(Gifts!J71="","",Gifts!J71)</f>
        <v/>
      </c>
    </row>
    <row r="84" ht="16" customHeight="1">
      <c r="A84" s="39">
        <f>IF(Gifts!A72="","",Gifts!A72)</f>
        <v/>
      </c>
      <c r="B84" s="40">
        <f>IF(Gifts!B72="","",Gifts!B72)</f>
        <v/>
      </c>
      <c r="C84" s="40">
        <f>IF(Gifts!C72="","",Gifts!C72)</f>
        <v/>
      </c>
      <c r="D84" s="40">
        <f>IF(Gifts!D72="","",Gifts!D72)</f>
        <v/>
      </c>
      <c r="E84" s="41">
        <f>IF(Gifts!E72="","",Gifts!E72)</f>
        <v/>
      </c>
      <c r="F84" s="41">
        <f>IF(Gifts!I72="","",Gifts!I72)</f>
        <v/>
      </c>
      <c r="G84" s="42">
        <f>IF(Gifts!J72="","",Gifts!J72)</f>
        <v/>
      </c>
    </row>
    <row r="85" ht="16" customHeight="1">
      <c r="A85" s="39">
        <f>IF(Gifts!A73="","",Gifts!A73)</f>
        <v/>
      </c>
      <c r="B85" s="40">
        <f>IF(Gifts!B73="","",Gifts!B73)</f>
        <v/>
      </c>
      <c r="C85" s="40">
        <f>IF(Gifts!C73="","",Gifts!C73)</f>
        <v/>
      </c>
      <c r="D85" s="40">
        <f>IF(Gifts!D73="","",Gifts!D73)</f>
        <v/>
      </c>
      <c r="E85" s="41">
        <f>IF(Gifts!E73="","",Gifts!E73)</f>
        <v/>
      </c>
      <c r="F85" s="41">
        <f>IF(Gifts!I73="","",Gifts!I73)</f>
        <v/>
      </c>
      <c r="G85" s="42">
        <f>IF(Gifts!J73="","",Gifts!J73)</f>
        <v/>
      </c>
    </row>
    <row r="86" ht="16" customHeight="1">
      <c r="A86" s="39">
        <f>IF(Gifts!A74="","",Gifts!A74)</f>
        <v/>
      </c>
      <c r="B86" s="40">
        <f>IF(Gifts!B74="","",Gifts!B74)</f>
        <v/>
      </c>
      <c r="C86" s="40">
        <f>IF(Gifts!C74="","",Gifts!C74)</f>
        <v/>
      </c>
      <c r="D86" s="40">
        <f>IF(Gifts!D74="","",Gifts!D74)</f>
        <v/>
      </c>
      <c r="E86" s="41">
        <f>IF(Gifts!E74="","",Gifts!E74)</f>
        <v/>
      </c>
      <c r="F86" s="41">
        <f>IF(Gifts!I74="","",Gifts!I74)</f>
        <v/>
      </c>
      <c r="G86" s="42">
        <f>IF(Gifts!J74="","",Gifts!J74)</f>
        <v/>
      </c>
    </row>
    <row r="87" ht="16" customHeight="1">
      <c r="A87" s="39">
        <f>IF(Gifts!A75="","",Gifts!A75)</f>
        <v/>
      </c>
      <c r="B87" s="40">
        <f>IF(Gifts!B75="","",Gifts!B75)</f>
        <v/>
      </c>
      <c r="C87" s="40">
        <f>IF(Gifts!C75="","",Gifts!C75)</f>
        <v/>
      </c>
      <c r="D87" s="40">
        <f>IF(Gifts!D75="","",Gifts!D75)</f>
        <v/>
      </c>
      <c r="E87" s="41">
        <f>IF(Gifts!E75="","",Gifts!E75)</f>
        <v/>
      </c>
      <c r="F87" s="41">
        <f>IF(Gifts!I75="","",Gifts!I75)</f>
        <v/>
      </c>
      <c r="G87" s="42">
        <f>IF(Gifts!J75="","",Gifts!J75)</f>
        <v/>
      </c>
    </row>
    <row r="88" ht="16" customHeight="1">
      <c r="A88" s="39">
        <f>IF(Gifts!A76="","",Gifts!A76)</f>
        <v/>
      </c>
      <c r="B88" s="40">
        <f>IF(Gifts!B76="","",Gifts!B76)</f>
        <v/>
      </c>
      <c r="C88" s="40">
        <f>IF(Gifts!C76="","",Gifts!C76)</f>
        <v/>
      </c>
      <c r="D88" s="40">
        <f>IF(Gifts!D76="","",Gifts!D76)</f>
        <v/>
      </c>
      <c r="E88" s="41">
        <f>IF(Gifts!E76="","",Gifts!E76)</f>
        <v/>
      </c>
      <c r="F88" s="41">
        <f>IF(Gifts!I76="","",Gifts!I76)</f>
        <v/>
      </c>
      <c r="G88" s="42">
        <f>IF(Gifts!J76="","",Gifts!J76)</f>
        <v/>
      </c>
    </row>
    <row r="89" ht="16" customHeight="1">
      <c r="A89" s="39">
        <f>IF(Gifts!A77="","",Gifts!A77)</f>
        <v/>
      </c>
      <c r="B89" s="40">
        <f>IF(Gifts!B77="","",Gifts!B77)</f>
        <v/>
      </c>
      <c r="C89" s="40">
        <f>IF(Gifts!C77="","",Gifts!C77)</f>
        <v/>
      </c>
      <c r="D89" s="40">
        <f>IF(Gifts!D77="","",Gifts!D77)</f>
        <v/>
      </c>
      <c r="E89" s="41">
        <f>IF(Gifts!E77="","",Gifts!E77)</f>
        <v/>
      </c>
      <c r="F89" s="41">
        <f>IF(Gifts!I77="","",Gifts!I77)</f>
        <v/>
      </c>
      <c r="G89" s="42">
        <f>IF(Gifts!J77="","",Gifts!J77)</f>
        <v/>
      </c>
    </row>
    <row r="90" ht="16" customHeight="1">
      <c r="A90" s="39">
        <f>IF(Gifts!A78="","",Gifts!A78)</f>
        <v/>
      </c>
      <c r="B90" s="40">
        <f>IF(Gifts!B78="","",Gifts!B78)</f>
        <v/>
      </c>
      <c r="C90" s="40">
        <f>IF(Gifts!C78="","",Gifts!C78)</f>
        <v/>
      </c>
      <c r="D90" s="40">
        <f>IF(Gifts!D78="","",Gifts!D78)</f>
        <v/>
      </c>
      <c r="E90" s="41">
        <f>IF(Gifts!E78="","",Gifts!E78)</f>
        <v/>
      </c>
      <c r="F90" s="41">
        <f>IF(Gifts!I78="","",Gifts!I78)</f>
        <v/>
      </c>
      <c r="G90" s="42">
        <f>IF(Gifts!J78="","",Gifts!J78)</f>
        <v/>
      </c>
    </row>
    <row r="91" ht="16" customHeight="1">
      <c r="A91" s="39">
        <f>IF(Gifts!A79="","",Gifts!A79)</f>
        <v/>
      </c>
      <c r="B91" s="40">
        <f>IF(Gifts!B79="","",Gifts!B79)</f>
        <v/>
      </c>
      <c r="C91" s="40">
        <f>IF(Gifts!C79="","",Gifts!C79)</f>
        <v/>
      </c>
      <c r="D91" s="40">
        <f>IF(Gifts!D79="","",Gifts!D79)</f>
        <v/>
      </c>
      <c r="E91" s="41">
        <f>IF(Gifts!E79="","",Gifts!E79)</f>
        <v/>
      </c>
      <c r="F91" s="41">
        <f>IF(Gifts!I79="","",Gifts!I79)</f>
        <v/>
      </c>
      <c r="G91" s="42">
        <f>IF(Gifts!J79="","",Gifts!J79)</f>
        <v/>
      </c>
    </row>
    <row r="92" ht="16" customHeight="1">
      <c r="A92" s="39">
        <f>IF(Gifts!A80="","",Gifts!A80)</f>
        <v/>
      </c>
      <c r="B92" s="40">
        <f>IF(Gifts!B80="","",Gifts!B80)</f>
        <v/>
      </c>
      <c r="C92" s="40">
        <f>IF(Gifts!C80="","",Gifts!C80)</f>
        <v/>
      </c>
      <c r="D92" s="40">
        <f>IF(Gifts!D80="","",Gifts!D80)</f>
        <v/>
      </c>
      <c r="E92" s="41">
        <f>IF(Gifts!E80="","",Gifts!E80)</f>
        <v/>
      </c>
      <c r="F92" s="41">
        <f>IF(Gifts!I80="","",Gifts!I80)</f>
        <v/>
      </c>
      <c r="G92" s="42">
        <f>IF(Gifts!J80="","",Gifts!J80)</f>
        <v/>
      </c>
    </row>
    <row r="93" ht="16" customHeight="1">
      <c r="A93" s="39">
        <f>IF(Gifts!A81="","",Gifts!A81)</f>
        <v/>
      </c>
      <c r="B93" s="40">
        <f>IF(Gifts!B81="","",Gifts!B81)</f>
        <v/>
      </c>
      <c r="C93" s="40">
        <f>IF(Gifts!C81="","",Gifts!C81)</f>
        <v/>
      </c>
      <c r="D93" s="40">
        <f>IF(Gifts!D81="","",Gifts!D81)</f>
        <v/>
      </c>
      <c r="E93" s="41">
        <f>IF(Gifts!E81="","",Gifts!E81)</f>
        <v/>
      </c>
      <c r="F93" s="41">
        <f>IF(Gifts!I81="","",Gifts!I81)</f>
        <v/>
      </c>
      <c r="G93" s="42">
        <f>IF(Gifts!J81="","",Gifts!J81)</f>
        <v/>
      </c>
    </row>
    <row r="94" ht="16" customHeight="1">
      <c r="A94" s="39">
        <f>IF(Gifts!A82="","",Gifts!A82)</f>
        <v/>
      </c>
      <c r="B94" s="40">
        <f>IF(Gifts!B82="","",Gifts!B82)</f>
        <v/>
      </c>
      <c r="C94" s="40">
        <f>IF(Gifts!C82="","",Gifts!C82)</f>
        <v/>
      </c>
      <c r="D94" s="40">
        <f>IF(Gifts!D82="","",Gifts!D82)</f>
        <v/>
      </c>
      <c r="E94" s="41">
        <f>IF(Gifts!E82="","",Gifts!E82)</f>
        <v/>
      </c>
      <c r="F94" s="41">
        <f>IF(Gifts!I82="","",Gifts!I82)</f>
        <v/>
      </c>
      <c r="G94" s="42">
        <f>IF(Gifts!J82="","",Gifts!J82)</f>
        <v/>
      </c>
    </row>
    <row r="95" ht="16" customHeight="1">
      <c r="A95" s="39">
        <f>IF(Gifts!A83="","",Gifts!A83)</f>
        <v/>
      </c>
      <c r="B95" s="40">
        <f>IF(Gifts!B83="","",Gifts!B83)</f>
        <v/>
      </c>
      <c r="C95" s="40">
        <f>IF(Gifts!C83="","",Gifts!C83)</f>
        <v/>
      </c>
      <c r="D95" s="40">
        <f>IF(Gifts!D83="","",Gifts!D83)</f>
        <v/>
      </c>
      <c r="E95" s="41">
        <f>IF(Gifts!E83="","",Gifts!E83)</f>
        <v/>
      </c>
      <c r="F95" s="41">
        <f>IF(Gifts!I83="","",Gifts!I83)</f>
        <v/>
      </c>
      <c r="G95" s="42">
        <f>IF(Gifts!J83="","",Gifts!J83)</f>
        <v/>
      </c>
    </row>
    <row r="96" ht="16" customHeight="1">
      <c r="A96" s="39">
        <f>IF(Gifts!A84="","",Gifts!A84)</f>
        <v/>
      </c>
      <c r="B96" s="40">
        <f>IF(Gifts!B84="","",Gifts!B84)</f>
        <v/>
      </c>
      <c r="C96" s="40">
        <f>IF(Gifts!C84="","",Gifts!C84)</f>
        <v/>
      </c>
      <c r="D96" s="40">
        <f>IF(Gifts!D84="","",Gifts!D84)</f>
        <v/>
      </c>
      <c r="E96" s="41">
        <f>IF(Gifts!E84="","",Gifts!E84)</f>
        <v/>
      </c>
      <c r="F96" s="41">
        <f>IF(Gifts!I84="","",Gifts!I84)</f>
        <v/>
      </c>
      <c r="G96" s="42">
        <f>IF(Gifts!J84="","",Gifts!J84)</f>
        <v/>
      </c>
    </row>
    <row r="97" ht="16" customHeight="1">
      <c r="A97" s="39">
        <f>IF(Gifts!A85="","",Gifts!A85)</f>
        <v/>
      </c>
      <c r="B97" s="40">
        <f>IF(Gifts!B85="","",Gifts!B85)</f>
        <v/>
      </c>
      <c r="C97" s="40">
        <f>IF(Gifts!C85="","",Gifts!C85)</f>
        <v/>
      </c>
      <c r="D97" s="40">
        <f>IF(Gifts!D85="","",Gifts!D85)</f>
        <v/>
      </c>
      <c r="E97" s="41">
        <f>IF(Gifts!E85="","",Gifts!E85)</f>
        <v/>
      </c>
      <c r="F97" s="41">
        <f>IF(Gifts!I85="","",Gifts!I85)</f>
        <v/>
      </c>
      <c r="G97" s="42">
        <f>IF(Gifts!J85="","",Gifts!J85)</f>
        <v/>
      </c>
    </row>
    <row r="98" ht="16" customHeight="1">
      <c r="A98" s="39">
        <f>IF(Gifts!A86="","",Gifts!A86)</f>
        <v/>
      </c>
      <c r="B98" s="40">
        <f>IF(Gifts!B86="","",Gifts!B86)</f>
        <v/>
      </c>
      <c r="C98" s="40">
        <f>IF(Gifts!C86="","",Gifts!C86)</f>
        <v/>
      </c>
      <c r="D98" s="40">
        <f>IF(Gifts!D86="","",Gifts!D86)</f>
        <v/>
      </c>
      <c r="E98" s="41">
        <f>IF(Gifts!E86="","",Gifts!E86)</f>
        <v/>
      </c>
      <c r="F98" s="41">
        <f>IF(Gifts!I86="","",Gifts!I86)</f>
        <v/>
      </c>
      <c r="G98" s="42">
        <f>IF(Gifts!J86="","",Gifts!J86)</f>
        <v/>
      </c>
    </row>
    <row r="99" ht="16" customHeight="1">
      <c r="A99" s="39">
        <f>IF(Gifts!A87="","",Gifts!A87)</f>
        <v/>
      </c>
      <c r="B99" s="40">
        <f>IF(Gifts!B87="","",Gifts!B87)</f>
        <v/>
      </c>
      <c r="C99" s="40">
        <f>IF(Gifts!C87="","",Gifts!C87)</f>
        <v/>
      </c>
      <c r="D99" s="40">
        <f>IF(Gifts!D87="","",Gifts!D87)</f>
        <v/>
      </c>
      <c r="E99" s="41">
        <f>IF(Gifts!E87="","",Gifts!E87)</f>
        <v/>
      </c>
      <c r="F99" s="41">
        <f>IF(Gifts!I87="","",Gifts!I87)</f>
        <v/>
      </c>
      <c r="G99" s="42">
        <f>IF(Gifts!J87="","",Gifts!J87)</f>
        <v/>
      </c>
    </row>
    <row r="100" ht="16" customHeight="1">
      <c r="A100" s="39">
        <f>IF(Gifts!A88="","",Gifts!A88)</f>
        <v/>
      </c>
      <c r="B100" s="40">
        <f>IF(Gifts!B88="","",Gifts!B88)</f>
        <v/>
      </c>
      <c r="C100" s="40">
        <f>IF(Gifts!C88="","",Gifts!C88)</f>
        <v/>
      </c>
      <c r="D100" s="40">
        <f>IF(Gifts!D88="","",Gifts!D88)</f>
        <v/>
      </c>
      <c r="E100" s="41">
        <f>IF(Gifts!E88="","",Gifts!E88)</f>
        <v/>
      </c>
      <c r="F100" s="41">
        <f>IF(Gifts!I88="","",Gifts!I88)</f>
        <v/>
      </c>
      <c r="G100" s="42">
        <f>IF(Gifts!J88="","",Gifts!J88)</f>
        <v/>
      </c>
    </row>
    <row r="101" ht="16" customHeight="1">
      <c r="A101" s="39">
        <f>IF(Gifts!A89="","",Gifts!A89)</f>
        <v/>
      </c>
      <c r="B101" s="40">
        <f>IF(Gifts!B89="","",Gifts!B89)</f>
        <v/>
      </c>
      <c r="C101" s="40">
        <f>IF(Gifts!C89="","",Gifts!C89)</f>
        <v/>
      </c>
      <c r="D101" s="40">
        <f>IF(Gifts!D89="","",Gifts!D89)</f>
        <v/>
      </c>
      <c r="E101" s="41">
        <f>IF(Gifts!E89="","",Gifts!E89)</f>
        <v/>
      </c>
      <c r="F101" s="41">
        <f>IF(Gifts!I89="","",Gifts!I89)</f>
        <v/>
      </c>
      <c r="G101" s="42">
        <f>IF(Gifts!J89="","",Gifts!J89)</f>
        <v/>
      </c>
    </row>
    <row r="102" ht="16" customHeight="1">
      <c r="A102" s="39">
        <f>IF(Gifts!A90="","",Gifts!A90)</f>
        <v/>
      </c>
      <c r="B102" s="40">
        <f>IF(Gifts!B90="","",Gifts!B90)</f>
        <v/>
      </c>
      <c r="C102" s="40">
        <f>IF(Gifts!C90="","",Gifts!C90)</f>
        <v/>
      </c>
      <c r="D102" s="40">
        <f>IF(Gifts!D90="","",Gifts!D90)</f>
        <v/>
      </c>
      <c r="E102" s="41">
        <f>IF(Gifts!E90="","",Gifts!E90)</f>
        <v/>
      </c>
      <c r="F102" s="41">
        <f>IF(Gifts!I90="","",Gifts!I90)</f>
        <v/>
      </c>
      <c r="G102" s="42">
        <f>IF(Gifts!J90="","",Gifts!J90)</f>
        <v/>
      </c>
    </row>
    <row r="103" ht="16" customHeight="1">
      <c r="A103" s="39">
        <f>IF(Gifts!A91="","",Gifts!A91)</f>
        <v/>
      </c>
      <c r="B103" s="40">
        <f>IF(Gifts!B91="","",Gifts!B91)</f>
        <v/>
      </c>
      <c r="C103" s="40">
        <f>IF(Gifts!C91="","",Gifts!C91)</f>
        <v/>
      </c>
      <c r="D103" s="40">
        <f>IF(Gifts!D91="","",Gifts!D91)</f>
        <v/>
      </c>
      <c r="E103" s="41">
        <f>IF(Gifts!E91="","",Gifts!E91)</f>
        <v/>
      </c>
      <c r="F103" s="41">
        <f>IF(Gifts!I91="","",Gifts!I91)</f>
        <v/>
      </c>
      <c r="G103" s="42">
        <f>IF(Gifts!J91="","",Gifts!J91)</f>
        <v/>
      </c>
    </row>
    <row r="104" ht="16" customHeight="1">
      <c r="A104" s="39">
        <f>IF(Gifts!A92="","",Gifts!A92)</f>
        <v/>
      </c>
      <c r="B104" s="40">
        <f>IF(Gifts!B92="","",Gifts!B92)</f>
        <v/>
      </c>
      <c r="C104" s="40">
        <f>IF(Gifts!C92="","",Gifts!C92)</f>
        <v/>
      </c>
      <c r="D104" s="40">
        <f>IF(Gifts!D92="","",Gifts!D92)</f>
        <v/>
      </c>
      <c r="E104" s="41">
        <f>IF(Gifts!E92="","",Gifts!E92)</f>
        <v/>
      </c>
      <c r="F104" s="41">
        <f>IF(Gifts!I92="","",Gifts!I92)</f>
        <v/>
      </c>
      <c r="G104" s="42">
        <f>IF(Gifts!J92="","",Gifts!J92)</f>
        <v/>
      </c>
    </row>
    <row r="105" ht="16" customHeight="1">
      <c r="A105" s="39">
        <f>IF(Gifts!A93="","",Gifts!A93)</f>
        <v/>
      </c>
      <c r="B105" s="40">
        <f>IF(Gifts!B93="","",Gifts!B93)</f>
        <v/>
      </c>
      <c r="C105" s="40">
        <f>IF(Gifts!C93="","",Gifts!C93)</f>
        <v/>
      </c>
      <c r="D105" s="40">
        <f>IF(Gifts!D93="","",Gifts!D93)</f>
        <v/>
      </c>
      <c r="E105" s="41">
        <f>IF(Gifts!E93="","",Gifts!E93)</f>
        <v/>
      </c>
      <c r="F105" s="41">
        <f>IF(Gifts!I93="","",Gifts!I93)</f>
        <v/>
      </c>
      <c r="G105" s="42">
        <f>IF(Gifts!J93="","",Gifts!J93)</f>
        <v/>
      </c>
    </row>
    <row r="106" ht="16" customHeight="1">
      <c r="A106" s="39">
        <f>IF(Gifts!A94="","",Gifts!A94)</f>
        <v/>
      </c>
      <c r="B106" s="40">
        <f>IF(Gifts!B94="","",Gifts!B94)</f>
        <v/>
      </c>
      <c r="C106" s="40">
        <f>IF(Gifts!C94="","",Gifts!C94)</f>
        <v/>
      </c>
      <c r="D106" s="40">
        <f>IF(Gifts!D94="","",Gifts!D94)</f>
        <v/>
      </c>
      <c r="E106" s="41">
        <f>IF(Gifts!E94="","",Gifts!E94)</f>
        <v/>
      </c>
      <c r="F106" s="41">
        <f>IF(Gifts!I94="","",Gifts!I94)</f>
        <v/>
      </c>
      <c r="G106" s="42">
        <f>IF(Gifts!J94="","",Gifts!J94)</f>
        <v/>
      </c>
    </row>
    <row r="107" ht="16" customHeight="1">
      <c r="A107" s="39">
        <f>IF(Gifts!A95="","",Gifts!A95)</f>
        <v/>
      </c>
      <c r="B107" s="40">
        <f>IF(Gifts!B95="","",Gifts!B95)</f>
        <v/>
      </c>
      <c r="C107" s="40">
        <f>IF(Gifts!C95="","",Gifts!C95)</f>
        <v/>
      </c>
      <c r="D107" s="40">
        <f>IF(Gifts!D95="","",Gifts!D95)</f>
        <v/>
      </c>
      <c r="E107" s="41">
        <f>IF(Gifts!E95="","",Gifts!E95)</f>
        <v/>
      </c>
      <c r="F107" s="41">
        <f>IF(Gifts!I95="","",Gifts!I95)</f>
        <v/>
      </c>
      <c r="G107" s="42">
        <f>IF(Gifts!J95="","",Gifts!J95)</f>
        <v/>
      </c>
    </row>
    <row r="108" ht="16" customHeight="1">
      <c r="A108" s="39">
        <f>IF(Gifts!A96="","",Gifts!A96)</f>
        <v/>
      </c>
      <c r="B108" s="40">
        <f>IF(Gifts!B96="","",Gifts!B96)</f>
        <v/>
      </c>
      <c r="C108" s="40">
        <f>IF(Gifts!C96="","",Gifts!C96)</f>
        <v/>
      </c>
      <c r="D108" s="40">
        <f>IF(Gifts!D96="","",Gifts!D96)</f>
        <v/>
      </c>
      <c r="E108" s="41">
        <f>IF(Gifts!E96="","",Gifts!E96)</f>
        <v/>
      </c>
      <c r="F108" s="41">
        <f>IF(Gifts!I96="","",Gifts!I96)</f>
        <v/>
      </c>
      <c r="G108" s="42">
        <f>IF(Gifts!J96="","",Gifts!J96)</f>
        <v/>
      </c>
    </row>
    <row r="109" ht="16" customHeight="1">
      <c r="A109" s="39">
        <f>IF(Gifts!A97="","",Gifts!A97)</f>
        <v/>
      </c>
      <c r="B109" s="40">
        <f>IF(Gifts!B97="","",Gifts!B97)</f>
        <v/>
      </c>
      <c r="C109" s="40">
        <f>IF(Gifts!C97="","",Gifts!C97)</f>
        <v/>
      </c>
      <c r="D109" s="40">
        <f>IF(Gifts!D97="","",Gifts!D97)</f>
        <v/>
      </c>
      <c r="E109" s="41">
        <f>IF(Gifts!E97="","",Gifts!E97)</f>
        <v/>
      </c>
      <c r="F109" s="41">
        <f>IF(Gifts!I97="","",Gifts!I97)</f>
        <v/>
      </c>
      <c r="G109" s="42">
        <f>IF(Gifts!J97="","",Gifts!J97)</f>
        <v/>
      </c>
    </row>
    <row r="110" ht="16" customHeight="1">
      <c r="A110" s="39">
        <f>IF(Gifts!A98="","",Gifts!A98)</f>
        <v/>
      </c>
      <c r="B110" s="40">
        <f>IF(Gifts!B98="","",Gifts!B98)</f>
        <v/>
      </c>
      <c r="C110" s="40">
        <f>IF(Gifts!C98="","",Gifts!C98)</f>
        <v/>
      </c>
      <c r="D110" s="40">
        <f>IF(Gifts!D98="","",Gifts!D98)</f>
        <v/>
      </c>
      <c r="E110" s="41">
        <f>IF(Gifts!E98="","",Gifts!E98)</f>
        <v/>
      </c>
      <c r="F110" s="41">
        <f>IF(Gifts!I98="","",Gifts!I98)</f>
        <v/>
      </c>
      <c r="G110" s="42">
        <f>IF(Gifts!J98="","",Gifts!J98)</f>
        <v/>
      </c>
    </row>
    <row r="111" ht="16" customHeight="1">
      <c r="A111" s="39">
        <f>IF(Gifts!A99="","",Gifts!A99)</f>
        <v/>
      </c>
      <c r="B111" s="40">
        <f>IF(Gifts!B99="","",Gifts!B99)</f>
        <v/>
      </c>
      <c r="C111" s="40">
        <f>IF(Gifts!C99="","",Gifts!C99)</f>
        <v/>
      </c>
      <c r="D111" s="40">
        <f>IF(Gifts!D99="","",Gifts!D99)</f>
        <v/>
      </c>
      <c r="E111" s="41">
        <f>IF(Gifts!E99="","",Gifts!E99)</f>
        <v/>
      </c>
      <c r="F111" s="41">
        <f>IF(Gifts!I99="","",Gifts!I99)</f>
        <v/>
      </c>
      <c r="G111" s="42">
        <f>IF(Gifts!J99="","",Gifts!J99)</f>
        <v/>
      </c>
    </row>
    <row r="112" ht="16" customHeight="1">
      <c r="A112" s="39">
        <f>IF(Gifts!A100="","",Gifts!A100)</f>
        <v/>
      </c>
      <c r="B112" s="40">
        <f>IF(Gifts!B100="","",Gifts!B100)</f>
        <v/>
      </c>
      <c r="C112" s="40">
        <f>IF(Gifts!C100="","",Gifts!C100)</f>
        <v/>
      </c>
      <c r="D112" s="40">
        <f>IF(Gifts!D100="","",Gifts!D100)</f>
        <v/>
      </c>
      <c r="E112" s="41">
        <f>IF(Gifts!E100="","",Gifts!E100)</f>
        <v/>
      </c>
      <c r="F112" s="41">
        <f>IF(Gifts!I100="","",Gifts!I100)</f>
        <v/>
      </c>
      <c r="G112" s="42">
        <f>IF(Gifts!J100="","",Gifts!J100)</f>
        <v/>
      </c>
    </row>
    <row r="113" ht="16" customHeight="1">
      <c r="A113" s="39">
        <f>IF(Gifts!A101="","",Gifts!A101)</f>
        <v/>
      </c>
      <c r="B113" s="40">
        <f>IF(Gifts!B101="","",Gifts!B101)</f>
        <v/>
      </c>
      <c r="C113" s="40">
        <f>IF(Gifts!C101="","",Gifts!C101)</f>
        <v/>
      </c>
      <c r="D113" s="40">
        <f>IF(Gifts!D101="","",Gifts!D101)</f>
        <v/>
      </c>
      <c r="E113" s="41">
        <f>IF(Gifts!E101="","",Gifts!E101)</f>
        <v/>
      </c>
      <c r="F113" s="41">
        <f>IF(Gifts!I101="","",Gifts!I101)</f>
        <v/>
      </c>
      <c r="G113" s="42">
        <f>IF(Gifts!J101="","",Gifts!J101)</f>
        <v/>
      </c>
    </row>
    <row r="114" ht="16" customHeight="1">
      <c r="A114" s="39">
        <f>IF(Gifts!A102="","",Gifts!A102)</f>
        <v/>
      </c>
      <c r="B114" s="40">
        <f>IF(Gifts!B102="","",Gifts!B102)</f>
        <v/>
      </c>
      <c r="C114" s="40">
        <f>IF(Gifts!C102="","",Gifts!C102)</f>
        <v/>
      </c>
      <c r="D114" s="40">
        <f>IF(Gifts!D102="","",Gifts!D102)</f>
        <v/>
      </c>
      <c r="E114" s="41">
        <f>IF(Gifts!E102="","",Gifts!E102)</f>
        <v/>
      </c>
      <c r="F114" s="41">
        <f>IF(Gifts!I102="","",Gifts!I102)</f>
        <v/>
      </c>
      <c r="G114" s="42">
        <f>IF(Gifts!J102="","",Gifts!J102)</f>
        <v/>
      </c>
    </row>
    <row r="115" ht="16" customHeight="1">
      <c r="A115" s="39">
        <f>IF(Gifts!A103="","",Gifts!A103)</f>
        <v/>
      </c>
      <c r="B115" s="40">
        <f>IF(Gifts!B103="","",Gifts!B103)</f>
        <v/>
      </c>
      <c r="C115" s="40">
        <f>IF(Gifts!C103="","",Gifts!C103)</f>
        <v/>
      </c>
      <c r="D115" s="40">
        <f>IF(Gifts!D103="","",Gifts!D103)</f>
        <v/>
      </c>
      <c r="E115" s="41">
        <f>IF(Gifts!E103="","",Gifts!E103)</f>
        <v/>
      </c>
      <c r="F115" s="41">
        <f>IF(Gifts!I103="","",Gifts!I103)</f>
        <v/>
      </c>
      <c r="G115" s="42">
        <f>IF(Gifts!J103="","",Gifts!J103)</f>
        <v/>
      </c>
    </row>
    <row r="116" ht="16" customHeight="1">
      <c r="A116" s="39">
        <f>IF(Gifts!A104="","",Gifts!A104)</f>
        <v/>
      </c>
      <c r="B116" s="40">
        <f>IF(Gifts!B104="","",Gifts!B104)</f>
        <v/>
      </c>
      <c r="C116" s="40">
        <f>IF(Gifts!C104="","",Gifts!C104)</f>
        <v/>
      </c>
      <c r="D116" s="40">
        <f>IF(Gifts!D104="","",Gifts!D104)</f>
        <v/>
      </c>
      <c r="E116" s="41">
        <f>IF(Gifts!E104="","",Gifts!E104)</f>
        <v/>
      </c>
      <c r="F116" s="41">
        <f>IF(Gifts!I104="","",Gifts!I104)</f>
        <v/>
      </c>
      <c r="G116" s="42">
        <f>IF(Gifts!J104="","",Gifts!J104)</f>
        <v/>
      </c>
    </row>
    <row r="117" ht="16" customHeight="1">
      <c r="A117" s="39">
        <f>IF(Gifts!A105="","",Gifts!A105)</f>
        <v/>
      </c>
      <c r="B117" s="40">
        <f>IF(Gifts!B105="","",Gifts!B105)</f>
        <v/>
      </c>
      <c r="C117" s="40">
        <f>IF(Gifts!C105="","",Gifts!C105)</f>
        <v/>
      </c>
      <c r="D117" s="40">
        <f>IF(Gifts!D105="","",Gifts!D105)</f>
        <v/>
      </c>
      <c r="E117" s="41">
        <f>IF(Gifts!E105="","",Gifts!E105)</f>
        <v/>
      </c>
      <c r="F117" s="41">
        <f>IF(Gifts!I105="","",Gifts!I105)</f>
        <v/>
      </c>
      <c r="G117" s="42">
        <f>IF(Gifts!J105="","",Gifts!J105)</f>
        <v/>
      </c>
    </row>
    <row r="118" ht="16" customHeight="1">
      <c r="A118" s="39">
        <f>IF(Gifts!A106="","",Gifts!A106)</f>
        <v/>
      </c>
      <c r="B118" s="40">
        <f>IF(Gifts!B106="","",Gifts!B106)</f>
        <v/>
      </c>
      <c r="C118" s="40">
        <f>IF(Gifts!C106="","",Gifts!C106)</f>
        <v/>
      </c>
      <c r="D118" s="40">
        <f>IF(Gifts!D106="","",Gifts!D106)</f>
        <v/>
      </c>
      <c r="E118" s="41">
        <f>IF(Gifts!E106="","",Gifts!E106)</f>
        <v/>
      </c>
      <c r="F118" s="41">
        <f>IF(Gifts!I106="","",Gifts!I106)</f>
        <v/>
      </c>
      <c r="G118" s="42">
        <f>IF(Gifts!J106="","",Gifts!J106)</f>
        <v/>
      </c>
    </row>
    <row r="119" ht="16" customHeight="1">
      <c r="A119" s="39">
        <f>IF(Gifts!A107="","",Gifts!A107)</f>
        <v/>
      </c>
      <c r="B119" s="40">
        <f>IF(Gifts!B107="","",Gifts!B107)</f>
        <v/>
      </c>
      <c r="C119" s="40">
        <f>IF(Gifts!C107="","",Gifts!C107)</f>
        <v/>
      </c>
      <c r="D119" s="40">
        <f>IF(Gifts!D107="","",Gifts!D107)</f>
        <v/>
      </c>
      <c r="E119" s="41">
        <f>IF(Gifts!E107="","",Gifts!E107)</f>
        <v/>
      </c>
      <c r="F119" s="41">
        <f>IF(Gifts!I107="","",Gifts!I107)</f>
        <v/>
      </c>
      <c r="G119" s="42">
        <f>IF(Gifts!J107="","",Gifts!J107)</f>
        <v/>
      </c>
    </row>
    <row r="120" ht="16" customHeight="1">
      <c r="A120" s="39">
        <f>IF(Gifts!A108="","",Gifts!A108)</f>
        <v/>
      </c>
      <c r="B120" s="40">
        <f>IF(Gifts!B108="","",Gifts!B108)</f>
        <v/>
      </c>
      <c r="C120" s="40">
        <f>IF(Gifts!C108="","",Gifts!C108)</f>
        <v/>
      </c>
      <c r="D120" s="40">
        <f>IF(Gifts!D108="","",Gifts!D108)</f>
        <v/>
      </c>
      <c r="E120" s="41">
        <f>IF(Gifts!E108="","",Gifts!E108)</f>
        <v/>
      </c>
      <c r="F120" s="41">
        <f>IF(Gifts!I108="","",Gifts!I108)</f>
        <v/>
      </c>
      <c r="G120" s="42">
        <f>IF(Gifts!J108="","",Gifts!J108)</f>
        <v/>
      </c>
    </row>
    <row r="121" ht="16" customHeight="1">
      <c r="A121" s="39">
        <f>IF(Gifts!A109="","",Gifts!A109)</f>
        <v/>
      </c>
      <c r="B121" s="40">
        <f>IF(Gifts!B109="","",Gifts!B109)</f>
        <v/>
      </c>
      <c r="C121" s="40">
        <f>IF(Gifts!C109="","",Gifts!C109)</f>
        <v/>
      </c>
      <c r="D121" s="40">
        <f>IF(Gifts!D109="","",Gifts!D109)</f>
        <v/>
      </c>
      <c r="E121" s="41">
        <f>IF(Gifts!E109="","",Gifts!E109)</f>
        <v/>
      </c>
      <c r="F121" s="41">
        <f>IF(Gifts!I109="","",Gifts!I109)</f>
        <v/>
      </c>
      <c r="G121" s="42">
        <f>IF(Gifts!J109="","",Gifts!J109)</f>
        <v/>
      </c>
    </row>
    <row r="122" ht="16" customHeight="1">
      <c r="A122" s="39">
        <f>IF(Gifts!A110="","",Gifts!A110)</f>
        <v/>
      </c>
      <c r="B122" s="40">
        <f>IF(Gifts!B110="","",Gifts!B110)</f>
        <v/>
      </c>
      <c r="C122" s="40">
        <f>IF(Gifts!C110="","",Gifts!C110)</f>
        <v/>
      </c>
      <c r="D122" s="40">
        <f>IF(Gifts!D110="","",Gifts!D110)</f>
        <v/>
      </c>
      <c r="E122" s="41">
        <f>IF(Gifts!E110="","",Gifts!E110)</f>
        <v/>
      </c>
      <c r="F122" s="41">
        <f>IF(Gifts!I110="","",Gifts!I110)</f>
        <v/>
      </c>
      <c r="G122" s="42">
        <f>IF(Gifts!J110="","",Gifts!J110)</f>
        <v/>
      </c>
    </row>
    <row r="123" ht="16" customHeight="1">
      <c r="A123" s="39">
        <f>IF(Gifts!A111="","",Gifts!A111)</f>
        <v/>
      </c>
      <c r="B123" s="40">
        <f>IF(Gifts!B111="","",Gifts!B111)</f>
        <v/>
      </c>
      <c r="C123" s="40">
        <f>IF(Gifts!C111="","",Gifts!C111)</f>
        <v/>
      </c>
      <c r="D123" s="40">
        <f>IF(Gifts!D111="","",Gifts!D111)</f>
        <v/>
      </c>
      <c r="E123" s="41">
        <f>IF(Gifts!E111="","",Gifts!E111)</f>
        <v/>
      </c>
      <c r="F123" s="41">
        <f>IF(Gifts!I111="","",Gifts!I111)</f>
        <v/>
      </c>
      <c r="G123" s="42">
        <f>IF(Gifts!J111="","",Gifts!J111)</f>
        <v/>
      </c>
    </row>
    <row r="124" ht="16" customHeight="1">
      <c r="A124" s="39">
        <f>IF(Gifts!A112="","",Gifts!A112)</f>
        <v/>
      </c>
      <c r="B124" s="40">
        <f>IF(Gifts!B112="","",Gifts!B112)</f>
        <v/>
      </c>
      <c r="C124" s="40">
        <f>IF(Gifts!C112="","",Gifts!C112)</f>
        <v/>
      </c>
      <c r="D124" s="40">
        <f>IF(Gifts!D112="","",Gifts!D112)</f>
        <v/>
      </c>
      <c r="E124" s="41">
        <f>IF(Gifts!E112="","",Gifts!E112)</f>
        <v/>
      </c>
      <c r="F124" s="41">
        <f>IF(Gifts!I112="","",Gifts!I112)</f>
        <v/>
      </c>
      <c r="G124" s="42">
        <f>IF(Gifts!J112="","",Gifts!J112)</f>
        <v/>
      </c>
    </row>
    <row r="125" ht="16" customHeight="1">
      <c r="A125" s="39">
        <f>IF(Gifts!A113="","",Gifts!A113)</f>
        <v/>
      </c>
      <c r="B125" s="40">
        <f>IF(Gifts!B113="","",Gifts!B113)</f>
        <v/>
      </c>
      <c r="C125" s="40">
        <f>IF(Gifts!C113="","",Gifts!C113)</f>
        <v/>
      </c>
      <c r="D125" s="40">
        <f>IF(Gifts!D113="","",Gifts!D113)</f>
        <v/>
      </c>
      <c r="E125" s="41">
        <f>IF(Gifts!E113="","",Gifts!E113)</f>
        <v/>
      </c>
      <c r="F125" s="41">
        <f>IF(Gifts!I113="","",Gifts!I113)</f>
        <v/>
      </c>
      <c r="G125" s="42">
        <f>IF(Gifts!J113="","",Gifts!J113)</f>
        <v/>
      </c>
    </row>
    <row r="126" ht="16" customHeight="1">
      <c r="A126" s="39">
        <f>IF(Gifts!A114="","",Gifts!A114)</f>
        <v/>
      </c>
      <c r="B126" s="40">
        <f>IF(Gifts!B114="","",Gifts!B114)</f>
        <v/>
      </c>
      <c r="C126" s="40">
        <f>IF(Gifts!C114="","",Gifts!C114)</f>
        <v/>
      </c>
      <c r="D126" s="40">
        <f>IF(Gifts!D114="","",Gifts!D114)</f>
        <v/>
      </c>
      <c r="E126" s="41">
        <f>IF(Gifts!E114="","",Gifts!E114)</f>
        <v/>
      </c>
      <c r="F126" s="41">
        <f>IF(Gifts!I114="","",Gifts!I114)</f>
        <v/>
      </c>
      <c r="G126" s="42">
        <f>IF(Gifts!J114="","",Gifts!J114)</f>
        <v/>
      </c>
    </row>
    <row r="127" ht="16" customHeight="1">
      <c r="A127" s="39">
        <f>IF(Gifts!A115="","",Gifts!A115)</f>
        <v/>
      </c>
      <c r="B127" s="40">
        <f>IF(Gifts!B115="","",Gifts!B115)</f>
        <v/>
      </c>
      <c r="C127" s="40">
        <f>IF(Gifts!C115="","",Gifts!C115)</f>
        <v/>
      </c>
      <c r="D127" s="40">
        <f>IF(Gifts!D115="","",Gifts!D115)</f>
        <v/>
      </c>
      <c r="E127" s="41">
        <f>IF(Gifts!E115="","",Gifts!E115)</f>
        <v/>
      </c>
      <c r="F127" s="41">
        <f>IF(Gifts!I115="","",Gifts!I115)</f>
        <v/>
      </c>
      <c r="G127" s="42">
        <f>IF(Gifts!J115="","",Gifts!J115)</f>
        <v/>
      </c>
    </row>
    <row r="128" ht="16" customHeight="1">
      <c r="A128" s="39">
        <f>IF(Gifts!A116="","",Gifts!A116)</f>
        <v/>
      </c>
      <c r="B128" s="40">
        <f>IF(Gifts!B116="","",Gifts!B116)</f>
        <v/>
      </c>
      <c r="C128" s="40">
        <f>IF(Gifts!C116="","",Gifts!C116)</f>
        <v/>
      </c>
      <c r="D128" s="40">
        <f>IF(Gifts!D116="","",Gifts!D116)</f>
        <v/>
      </c>
      <c r="E128" s="41">
        <f>IF(Gifts!E116="","",Gifts!E116)</f>
        <v/>
      </c>
      <c r="F128" s="41">
        <f>IF(Gifts!I116="","",Gifts!I116)</f>
        <v/>
      </c>
      <c r="G128" s="42">
        <f>IF(Gifts!J116="","",Gifts!J116)</f>
        <v/>
      </c>
    </row>
    <row r="129" ht="16" customHeight="1">
      <c r="A129" s="39">
        <f>IF(Gifts!A117="","",Gifts!A117)</f>
        <v/>
      </c>
      <c r="B129" s="40">
        <f>IF(Gifts!B117="","",Gifts!B117)</f>
        <v/>
      </c>
      <c r="C129" s="40">
        <f>IF(Gifts!C117="","",Gifts!C117)</f>
        <v/>
      </c>
      <c r="D129" s="40">
        <f>IF(Gifts!D117="","",Gifts!D117)</f>
        <v/>
      </c>
      <c r="E129" s="41">
        <f>IF(Gifts!E117="","",Gifts!E117)</f>
        <v/>
      </c>
      <c r="F129" s="41">
        <f>IF(Gifts!I117="","",Gifts!I117)</f>
        <v/>
      </c>
      <c r="G129" s="42">
        <f>IF(Gifts!J117="","",Gifts!J117)</f>
        <v/>
      </c>
    </row>
    <row r="130" ht="16" customHeight="1">
      <c r="A130" s="39">
        <f>IF(Gifts!A118="","",Gifts!A118)</f>
        <v/>
      </c>
      <c r="B130" s="40">
        <f>IF(Gifts!B118="","",Gifts!B118)</f>
        <v/>
      </c>
      <c r="C130" s="40">
        <f>IF(Gifts!C118="","",Gifts!C118)</f>
        <v/>
      </c>
      <c r="D130" s="40">
        <f>IF(Gifts!D118="","",Gifts!D118)</f>
        <v/>
      </c>
      <c r="E130" s="41">
        <f>IF(Gifts!E118="","",Gifts!E118)</f>
        <v/>
      </c>
      <c r="F130" s="41">
        <f>IF(Gifts!I118="","",Gifts!I118)</f>
        <v/>
      </c>
      <c r="G130" s="42">
        <f>IF(Gifts!J118="","",Gifts!J118)</f>
        <v/>
      </c>
    </row>
    <row r="131" ht="16" customHeight="1">
      <c r="A131" s="39">
        <f>IF(Gifts!A119="","",Gifts!A119)</f>
        <v/>
      </c>
      <c r="B131" s="40">
        <f>IF(Gifts!B119="","",Gifts!B119)</f>
        <v/>
      </c>
      <c r="C131" s="40">
        <f>IF(Gifts!C119="","",Gifts!C119)</f>
        <v/>
      </c>
      <c r="D131" s="40">
        <f>IF(Gifts!D119="","",Gifts!D119)</f>
        <v/>
      </c>
      <c r="E131" s="41">
        <f>IF(Gifts!E119="","",Gifts!E119)</f>
        <v/>
      </c>
      <c r="F131" s="41">
        <f>IF(Gifts!I119="","",Gifts!I119)</f>
        <v/>
      </c>
      <c r="G131" s="42">
        <f>IF(Gifts!J119="","",Gifts!J119)</f>
        <v/>
      </c>
    </row>
    <row r="132" ht="16" customHeight="1">
      <c r="A132" s="39">
        <f>IF(Gifts!A120="","",Gifts!A120)</f>
        <v/>
      </c>
      <c r="B132" s="40">
        <f>IF(Gifts!B120="","",Gifts!B120)</f>
        <v/>
      </c>
      <c r="C132" s="40">
        <f>IF(Gifts!C120="","",Gifts!C120)</f>
        <v/>
      </c>
      <c r="D132" s="40">
        <f>IF(Gifts!D120="","",Gifts!D120)</f>
        <v/>
      </c>
      <c r="E132" s="41">
        <f>IF(Gifts!E120="","",Gifts!E120)</f>
        <v/>
      </c>
      <c r="F132" s="41">
        <f>IF(Gifts!I120="","",Gifts!I120)</f>
        <v/>
      </c>
      <c r="G132" s="42">
        <f>IF(Gifts!J120="","",Gifts!J120)</f>
        <v/>
      </c>
    </row>
    <row r="133" ht="16" customHeight="1">
      <c r="A133" s="39">
        <f>IF(Gifts!A121="","",Gifts!A121)</f>
        <v/>
      </c>
      <c r="B133" s="40">
        <f>IF(Gifts!B121="","",Gifts!B121)</f>
        <v/>
      </c>
      <c r="C133" s="40">
        <f>IF(Gifts!C121="","",Gifts!C121)</f>
        <v/>
      </c>
      <c r="D133" s="40">
        <f>IF(Gifts!D121="","",Gifts!D121)</f>
        <v/>
      </c>
      <c r="E133" s="41">
        <f>IF(Gifts!E121="","",Gifts!E121)</f>
        <v/>
      </c>
      <c r="F133" s="41">
        <f>IF(Gifts!I121="","",Gifts!I121)</f>
        <v/>
      </c>
      <c r="G133" s="42">
        <f>IF(Gifts!J121="","",Gifts!J121)</f>
        <v/>
      </c>
    </row>
    <row r="134" ht="16" customHeight="1">
      <c r="A134" s="39">
        <f>IF(Gifts!A122="","",Gifts!A122)</f>
        <v/>
      </c>
      <c r="B134" s="40">
        <f>IF(Gifts!B122="","",Gifts!B122)</f>
        <v/>
      </c>
      <c r="C134" s="40">
        <f>IF(Gifts!C122="","",Gifts!C122)</f>
        <v/>
      </c>
      <c r="D134" s="40">
        <f>IF(Gifts!D122="","",Gifts!D122)</f>
        <v/>
      </c>
      <c r="E134" s="41">
        <f>IF(Gifts!E122="","",Gifts!E122)</f>
        <v/>
      </c>
      <c r="F134" s="41">
        <f>IF(Gifts!I122="","",Gifts!I122)</f>
        <v/>
      </c>
      <c r="G134" s="42">
        <f>IF(Gifts!J122="","",Gifts!J122)</f>
        <v/>
      </c>
    </row>
    <row r="135" ht="16" customHeight="1">
      <c r="A135" s="39">
        <f>IF(Gifts!A123="","",Gifts!A123)</f>
        <v/>
      </c>
      <c r="B135" s="40">
        <f>IF(Gifts!B123="","",Gifts!B123)</f>
        <v/>
      </c>
      <c r="C135" s="40">
        <f>IF(Gifts!C123="","",Gifts!C123)</f>
        <v/>
      </c>
      <c r="D135" s="40">
        <f>IF(Gifts!D123="","",Gifts!D123)</f>
        <v/>
      </c>
      <c r="E135" s="41">
        <f>IF(Gifts!E123="","",Gifts!E123)</f>
        <v/>
      </c>
      <c r="F135" s="41">
        <f>IF(Gifts!I123="","",Gifts!I123)</f>
        <v/>
      </c>
      <c r="G135" s="42">
        <f>IF(Gifts!J123="","",Gifts!J123)</f>
        <v/>
      </c>
    </row>
    <row r="136" ht="16" customHeight="1">
      <c r="A136" s="39">
        <f>IF(Gifts!A124="","",Gifts!A124)</f>
        <v/>
      </c>
      <c r="B136" s="40">
        <f>IF(Gifts!B124="","",Gifts!B124)</f>
        <v/>
      </c>
      <c r="C136" s="40">
        <f>IF(Gifts!C124="","",Gifts!C124)</f>
        <v/>
      </c>
      <c r="D136" s="40">
        <f>IF(Gifts!D124="","",Gifts!D124)</f>
        <v/>
      </c>
      <c r="E136" s="41">
        <f>IF(Gifts!E124="","",Gifts!E124)</f>
        <v/>
      </c>
      <c r="F136" s="41">
        <f>IF(Gifts!I124="","",Gifts!I124)</f>
        <v/>
      </c>
      <c r="G136" s="42">
        <f>IF(Gifts!J124="","",Gifts!J124)</f>
        <v/>
      </c>
    </row>
    <row r="137" ht="16" customHeight="1">
      <c r="A137" s="39">
        <f>IF(Gifts!A125="","",Gifts!A125)</f>
        <v/>
      </c>
      <c r="B137" s="40">
        <f>IF(Gifts!B125="","",Gifts!B125)</f>
        <v/>
      </c>
      <c r="C137" s="40">
        <f>IF(Gifts!C125="","",Gifts!C125)</f>
        <v/>
      </c>
      <c r="D137" s="40">
        <f>IF(Gifts!D125="","",Gifts!D125)</f>
        <v/>
      </c>
      <c r="E137" s="41">
        <f>IF(Gifts!E125="","",Gifts!E125)</f>
        <v/>
      </c>
      <c r="F137" s="41">
        <f>IF(Gifts!I125="","",Gifts!I125)</f>
        <v/>
      </c>
      <c r="G137" s="42">
        <f>IF(Gifts!J125="","",Gifts!J125)</f>
        <v/>
      </c>
    </row>
    <row r="138" ht="16" customHeight="1">
      <c r="A138" s="39">
        <f>IF(Gifts!A126="","",Gifts!A126)</f>
        <v/>
      </c>
      <c r="B138" s="40">
        <f>IF(Gifts!B126="","",Gifts!B126)</f>
        <v/>
      </c>
      <c r="C138" s="40">
        <f>IF(Gifts!C126="","",Gifts!C126)</f>
        <v/>
      </c>
      <c r="D138" s="40">
        <f>IF(Gifts!D126="","",Gifts!D126)</f>
        <v/>
      </c>
      <c r="E138" s="41">
        <f>IF(Gifts!E126="","",Gifts!E126)</f>
        <v/>
      </c>
      <c r="F138" s="41">
        <f>IF(Gifts!I126="","",Gifts!I126)</f>
        <v/>
      </c>
      <c r="G138" s="42">
        <f>IF(Gifts!J126="","",Gifts!J126)</f>
        <v/>
      </c>
    </row>
    <row r="139" ht="16" customHeight="1">
      <c r="A139" s="39">
        <f>IF(Gifts!A127="","",Gifts!A127)</f>
        <v/>
      </c>
      <c r="B139" s="40">
        <f>IF(Gifts!B127="","",Gifts!B127)</f>
        <v/>
      </c>
      <c r="C139" s="40">
        <f>IF(Gifts!C127="","",Gifts!C127)</f>
        <v/>
      </c>
      <c r="D139" s="40">
        <f>IF(Gifts!D127="","",Gifts!D127)</f>
        <v/>
      </c>
      <c r="E139" s="41">
        <f>IF(Gifts!E127="","",Gifts!E127)</f>
        <v/>
      </c>
      <c r="F139" s="41">
        <f>IF(Gifts!I127="","",Gifts!I127)</f>
        <v/>
      </c>
      <c r="G139" s="42">
        <f>IF(Gifts!J127="","",Gifts!J127)</f>
        <v/>
      </c>
    </row>
    <row r="140" ht="16" customHeight="1">
      <c r="A140" s="39">
        <f>IF(Gifts!A128="","",Gifts!A128)</f>
        <v/>
      </c>
      <c r="B140" s="40">
        <f>IF(Gifts!B128="","",Gifts!B128)</f>
        <v/>
      </c>
      <c r="C140" s="40">
        <f>IF(Gifts!C128="","",Gifts!C128)</f>
        <v/>
      </c>
      <c r="D140" s="40">
        <f>IF(Gifts!D128="","",Gifts!D128)</f>
        <v/>
      </c>
      <c r="E140" s="41">
        <f>IF(Gifts!E128="","",Gifts!E128)</f>
        <v/>
      </c>
      <c r="F140" s="41">
        <f>IF(Gifts!I128="","",Gifts!I128)</f>
        <v/>
      </c>
      <c r="G140" s="42">
        <f>IF(Gifts!J128="","",Gifts!J128)</f>
        <v/>
      </c>
    </row>
    <row r="141" ht="16" customHeight="1">
      <c r="A141" s="39">
        <f>IF(Gifts!A129="","",Gifts!A129)</f>
        <v/>
      </c>
      <c r="B141" s="40">
        <f>IF(Gifts!B129="","",Gifts!B129)</f>
        <v/>
      </c>
      <c r="C141" s="40">
        <f>IF(Gifts!C129="","",Gifts!C129)</f>
        <v/>
      </c>
      <c r="D141" s="40">
        <f>IF(Gifts!D129="","",Gifts!D129)</f>
        <v/>
      </c>
      <c r="E141" s="41">
        <f>IF(Gifts!E129="","",Gifts!E129)</f>
        <v/>
      </c>
      <c r="F141" s="41">
        <f>IF(Gifts!I129="","",Gifts!I129)</f>
        <v/>
      </c>
      <c r="G141" s="42">
        <f>IF(Gifts!J129="","",Gifts!J129)</f>
        <v/>
      </c>
    </row>
    <row r="142" ht="16" customHeight="1">
      <c r="A142" s="39">
        <f>IF(Gifts!A130="","",Gifts!A130)</f>
        <v/>
      </c>
      <c r="B142" s="40">
        <f>IF(Gifts!B130="","",Gifts!B130)</f>
        <v/>
      </c>
      <c r="C142" s="40">
        <f>IF(Gifts!C130="","",Gifts!C130)</f>
        <v/>
      </c>
      <c r="D142" s="40">
        <f>IF(Gifts!D130="","",Gifts!D130)</f>
        <v/>
      </c>
      <c r="E142" s="41">
        <f>IF(Gifts!E130="","",Gifts!E130)</f>
        <v/>
      </c>
      <c r="F142" s="41">
        <f>IF(Gifts!I130="","",Gifts!I130)</f>
        <v/>
      </c>
      <c r="G142" s="42">
        <f>IF(Gifts!J130="","",Gifts!J130)</f>
        <v/>
      </c>
    </row>
    <row r="143" ht="16" customHeight="1">
      <c r="A143" s="39">
        <f>IF(Gifts!A131="","",Gifts!A131)</f>
        <v/>
      </c>
      <c r="B143" s="40">
        <f>IF(Gifts!B131="","",Gifts!B131)</f>
        <v/>
      </c>
      <c r="C143" s="40">
        <f>IF(Gifts!C131="","",Gifts!C131)</f>
        <v/>
      </c>
      <c r="D143" s="40">
        <f>IF(Gifts!D131="","",Gifts!D131)</f>
        <v/>
      </c>
      <c r="E143" s="41">
        <f>IF(Gifts!E131="","",Gifts!E131)</f>
        <v/>
      </c>
      <c r="F143" s="41">
        <f>IF(Gifts!I131="","",Gifts!I131)</f>
        <v/>
      </c>
      <c r="G143" s="42">
        <f>IF(Gifts!J131="","",Gifts!J131)</f>
        <v/>
      </c>
    </row>
    <row r="144" ht="16" customHeight="1">
      <c r="A144" s="39">
        <f>IF(Gifts!A132="","",Gifts!A132)</f>
        <v/>
      </c>
      <c r="B144" s="40">
        <f>IF(Gifts!B132="","",Gifts!B132)</f>
        <v/>
      </c>
      <c r="C144" s="40">
        <f>IF(Gifts!C132="","",Gifts!C132)</f>
        <v/>
      </c>
      <c r="D144" s="40">
        <f>IF(Gifts!D132="","",Gifts!D132)</f>
        <v/>
      </c>
      <c r="E144" s="41">
        <f>IF(Gifts!E132="","",Gifts!E132)</f>
        <v/>
      </c>
      <c r="F144" s="41">
        <f>IF(Gifts!I132="","",Gifts!I132)</f>
        <v/>
      </c>
      <c r="G144" s="42">
        <f>IF(Gifts!J132="","",Gifts!J132)</f>
        <v/>
      </c>
    </row>
    <row r="145" ht="16" customHeight="1">
      <c r="A145" s="39">
        <f>IF(Gifts!A133="","",Gifts!A133)</f>
        <v/>
      </c>
      <c r="B145" s="40">
        <f>IF(Gifts!B133="","",Gifts!B133)</f>
        <v/>
      </c>
      <c r="C145" s="40">
        <f>IF(Gifts!C133="","",Gifts!C133)</f>
        <v/>
      </c>
      <c r="D145" s="40">
        <f>IF(Gifts!D133="","",Gifts!D133)</f>
        <v/>
      </c>
      <c r="E145" s="41">
        <f>IF(Gifts!E133="","",Gifts!E133)</f>
        <v/>
      </c>
      <c r="F145" s="41">
        <f>IF(Gifts!I133="","",Gifts!I133)</f>
        <v/>
      </c>
      <c r="G145" s="42">
        <f>IF(Gifts!J133="","",Gifts!J133)</f>
        <v/>
      </c>
    </row>
    <row r="146" ht="16" customHeight="1">
      <c r="A146" s="39">
        <f>IF(Gifts!A134="","",Gifts!A134)</f>
        <v/>
      </c>
      <c r="B146" s="40">
        <f>IF(Gifts!B134="","",Gifts!B134)</f>
        <v/>
      </c>
      <c r="C146" s="40">
        <f>IF(Gifts!C134="","",Gifts!C134)</f>
        <v/>
      </c>
      <c r="D146" s="40">
        <f>IF(Gifts!D134="","",Gifts!D134)</f>
        <v/>
      </c>
      <c r="E146" s="41">
        <f>IF(Gifts!E134="","",Gifts!E134)</f>
        <v/>
      </c>
      <c r="F146" s="41">
        <f>IF(Gifts!I134="","",Gifts!I134)</f>
        <v/>
      </c>
      <c r="G146" s="42">
        <f>IF(Gifts!J134="","",Gifts!J134)</f>
        <v/>
      </c>
    </row>
    <row r="147" ht="16" customHeight="1">
      <c r="A147" s="39">
        <f>IF(Gifts!A135="","",Gifts!A135)</f>
        <v/>
      </c>
      <c r="B147" s="40">
        <f>IF(Gifts!B135="","",Gifts!B135)</f>
        <v/>
      </c>
      <c r="C147" s="40">
        <f>IF(Gifts!C135="","",Gifts!C135)</f>
        <v/>
      </c>
      <c r="D147" s="40">
        <f>IF(Gifts!D135="","",Gifts!D135)</f>
        <v/>
      </c>
      <c r="E147" s="41">
        <f>IF(Gifts!E135="","",Gifts!E135)</f>
        <v/>
      </c>
      <c r="F147" s="41">
        <f>IF(Gifts!I135="","",Gifts!I135)</f>
        <v/>
      </c>
      <c r="G147" s="42">
        <f>IF(Gifts!J135="","",Gifts!J135)</f>
        <v/>
      </c>
    </row>
    <row r="148" ht="16" customHeight="1">
      <c r="A148" s="39">
        <f>IF(Gifts!A136="","",Gifts!A136)</f>
        <v/>
      </c>
      <c r="B148" s="40">
        <f>IF(Gifts!B136="","",Gifts!B136)</f>
        <v/>
      </c>
      <c r="C148" s="40">
        <f>IF(Gifts!C136="","",Gifts!C136)</f>
        <v/>
      </c>
      <c r="D148" s="40">
        <f>IF(Gifts!D136="","",Gifts!D136)</f>
        <v/>
      </c>
      <c r="E148" s="41">
        <f>IF(Gifts!E136="","",Gifts!E136)</f>
        <v/>
      </c>
      <c r="F148" s="41">
        <f>IF(Gifts!I136="","",Gifts!I136)</f>
        <v/>
      </c>
      <c r="G148" s="42">
        <f>IF(Gifts!J136="","",Gifts!J136)</f>
        <v/>
      </c>
    </row>
    <row r="149" ht="16" customHeight="1">
      <c r="A149" s="39">
        <f>IF(Gifts!A137="","",Gifts!A137)</f>
        <v/>
      </c>
      <c r="B149" s="40">
        <f>IF(Gifts!B137="","",Gifts!B137)</f>
        <v/>
      </c>
      <c r="C149" s="40">
        <f>IF(Gifts!C137="","",Gifts!C137)</f>
        <v/>
      </c>
      <c r="D149" s="40">
        <f>IF(Gifts!D137="","",Gifts!D137)</f>
        <v/>
      </c>
      <c r="E149" s="41">
        <f>IF(Gifts!E137="","",Gifts!E137)</f>
        <v/>
      </c>
      <c r="F149" s="41">
        <f>IF(Gifts!I137="","",Gifts!I137)</f>
        <v/>
      </c>
      <c r="G149" s="42">
        <f>IF(Gifts!J137="","",Gifts!J137)</f>
        <v/>
      </c>
    </row>
    <row r="150" ht="16" customHeight="1">
      <c r="A150" s="39">
        <f>IF(Gifts!A138="","",Gifts!A138)</f>
        <v/>
      </c>
      <c r="B150" s="40">
        <f>IF(Gifts!B138="","",Gifts!B138)</f>
        <v/>
      </c>
      <c r="C150" s="40">
        <f>IF(Gifts!C138="","",Gifts!C138)</f>
        <v/>
      </c>
      <c r="D150" s="40">
        <f>IF(Gifts!D138="","",Gifts!D138)</f>
        <v/>
      </c>
      <c r="E150" s="41">
        <f>IF(Gifts!E138="","",Gifts!E138)</f>
        <v/>
      </c>
      <c r="F150" s="41">
        <f>IF(Gifts!I138="","",Gifts!I138)</f>
        <v/>
      </c>
      <c r="G150" s="42">
        <f>IF(Gifts!J138="","",Gifts!J138)</f>
        <v/>
      </c>
    </row>
    <row r="151" ht="16" customHeight="1">
      <c r="A151" s="39">
        <f>IF(Gifts!A139="","",Gifts!A139)</f>
        <v/>
      </c>
      <c r="B151" s="40">
        <f>IF(Gifts!B139="","",Gifts!B139)</f>
        <v/>
      </c>
      <c r="C151" s="40">
        <f>IF(Gifts!C139="","",Gifts!C139)</f>
        <v/>
      </c>
      <c r="D151" s="40">
        <f>IF(Gifts!D139="","",Gifts!D139)</f>
        <v/>
      </c>
      <c r="E151" s="41">
        <f>IF(Gifts!E139="","",Gifts!E139)</f>
        <v/>
      </c>
      <c r="F151" s="41">
        <f>IF(Gifts!I139="","",Gifts!I139)</f>
        <v/>
      </c>
      <c r="G151" s="42">
        <f>IF(Gifts!J139="","",Gifts!J139)</f>
        <v/>
      </c>
    </row>
    <row r="152" ht="16" customHeight="1">
      <c r="A152" s="39">
        <f>IF(Gifts!A140="","",Gifts!A140)</f>
        <v/>
      </c>
      <c r="B152" s="40">
        <f>IF(Gifts!B140="","",Gifts!B140)</f>
        <v/>
      </c>
      <c r="C152" s="40">
        <f>IF(Gifts!C140="","",Gifts!C140)</f>
        <v/>
      </c>
      <c r="D152" s="40">
        <f>IF(Gifts!D140="","",Gifts!D140)</f>
        <v/>
      </c>
      <c r="E152" s="41">
        <f>IF(Gifts!E140="","",Gifts!E140)</f>
        <v/>
      </c>
      <c r="F152" s="41">
        <f>IF(Gifts!I140="","",Gifts!I140)</f>
        <v/>
      </c>
      <c r="G152" s="42">
        <f>IF(Gifts!J140="","",Gifts!J140)</f>
        <v/>
      </c>
    </row>
    <row r="153" ht="16" customHeight="1">
      <c r="A153" s="39">
        <f>IF(Gifts!A141="","",Gifts!A141)</f>
        <v/>
      </c>
      <c r="B153" s="40">
        <f>IF(Gifts!B141="","",Gifts!B141)</f>
        <v/>
      </c>
      <c r="C153" s="40">
        <f>IF(Gifts!C141="","",Gifts!C141)</f>
        <v/>
      </c>
      <c r="D153" s="40">
        <f>IF(Gifts!D141="","",Gifts!D141)</f>
        <v/>
      </c>
      <c r="E153" s="41">
        <f>IF(Gifts!E141="","",Gifts!E141)</f>
        <v/>
      </c>
      <c r="F153" s="41">
        <f>IF(Gifts!I141="","",Gifts!I141)</f>
        <v/>
      </c>
      <c r="G153" s="42">
        <f>IF(Gifts!J141="","",Gifts!J141)</f>
        <v/>
      </c>
    </row>
    <row r="154" ht="16" customHeight="1">
      <c r="A154" s="39">
        <f>IF(Gifts!A142="","",Gifts!A142)</f>
        <v/>
      </c>
      <c r="B154" s="40">
        <f>IF(Gifts!B142="","",Gifts!B142)</f>
        <v/>
      </c>
      <c r="C154" s="40">
        <f>IF(Gifts!C142="","",Gifts!C142)</f>
        <v/>
      </c>
      <c r="D154" s="40">
        <f>IF(Gifts!D142="","",Gifts!D142)</f>
        <v/>
      </c>
      <c r="E154" s="41">
        <f>IF(Gifts!E142="","",Gifts!E142)</f>
        <v/>
      </c>
      <c r="F154" s="41">
        <f>IF(Gifts!I142="","",Gifts!I142)</f>
        <v/>
      </c>
      <c r="G154" s="42">
        <f>IF(Gifts!J142="","",Gifts!J142)</f>
        <v/>
      </c>
    </row>
    <row r="155" ht="16" customHeight="1">
      <c r="A155" s="39">
        <f>IF(Gifts!A143="","",Gifts!A143)</f>
        <v/>
      </c>
      <c r="B155" s="40">
        <f>IF(Gifts!B143="","",Gifts!B143)</f>
        <v/>
      </c>
      <c r="C155" s="40">
        <f>IF(Gifts!C143="","",Gifts!C143)</f>
        <v/>
      </c>
      <c r="D155" s="40">
        <f>IF(Gifts!D143="","",Gifts!D143)</f>
        <v/>
      </c>
      <c r="E155" s="41">
        <f>IF(Gifts!E143="","",Gifts!E143)</f>
        <v/>
      </c>
      <c r="F155" s="41">
        <f>IF(Gifts!I143="","",Gifts!I143)</f>
        <v/>
      </c>
      <c r="G155" s="42">
        <f>IF(Gifts!J143="","",Gifts!J143)</f>
        <v/>
      </c>
    </row>
    <row r="156" ht="16" customHeight="1">
      <c r="A156" s="39">
        <f>IF(Gifts!A144="","",Gifts!A144)</f>
        <v/>
      </c>
      <c r="B156" s="40">
        <f>IF(Gifts!B144="","",Gifts!B144)</f>
        <v/>
      </c>
      <c r="C156" s="40">
        <f>IF(Gifts!C144="","",Gifts!C144)</f>
        <v/>
      </c>
      <c r="D156" s="40">
        <f>IF(Gifts!D144="","",Gifts!D144)</f>
        <v/>
      </c>
      <c r="E156" s="41">
        <f>IF(Gifts!E144="","",Gifts!E144)</f>
        <v/>
      </c>
      <c r="F156" s="41">
        <f>IF(Gifts!I144="","",Gifts!I144)</f>
        <v/>
      </c>
      <c r="G156" s="42">
        <f>IF(Gifts!J144="","",Gifts!J144)</f>
        <v/>
      </c>
    </row>
    <row r="157" ht="16" customHeight="1">
      <c r="A157" s="39">
        <f>IF(Gifts!A145="","",Gifts!A145)</f>
        <v/>
      </c>
      <c r="B157" s="40">
        <f>IF(Gifts!B145="","",Gifts!B145)</f>
        <v/>
      </c>
      <c r="C157" s="40">
        <f>IF(Gifts!C145="","",Gifts!C145)</f>
        <v/>
      </c>
      <c r="D157" s="40">
        <f>IF(Gifts!D145="","",Gifts!D145)</f>
        <v/>
      </c>
      <c r="E157" s="41">
        <f>IF(Gifts!E145="","",Gifts!E145)</f>
        <v/>
      </c>
      <c r="F157" s="41">
        <f>IF(Gifts!I145="","",Gifts!I145)</f>
        <v/>
      </c>
      <c r="G157" s="42">
        <f>IF(Gifts!J145="","",Gifts!J145)</f>
        <v/>
      </c>
    </row>
    <row r="158" ht="16" customHeight="1">
      <c r="A158" s="39">
        <f>IF(Gifts!A146="","",Gifts!A146)</f>
        <v/>
      </c>
      <c r="B158" s="40">
        <f>IF(Gifts!B146="","",Gifts!B146)</f>
        <v/>
      </c>
      <c r="C158" s="40">
        <f>IF(Gifts!C146="","",Gifts!C146)</f>
        <v/>
      </c>
      <c r="D158" s="40">
        <f>IF(Gifts!D146="","",Gifts!D146)</f>
        <v/>
      </c>
      <c r="E158" s="41">
        <f>IF(Gifts!E146="","",Gifts!E146)</f>
        <v/>
      </c>
      <c r="F158" s="41">
        <f>IF(Gifts!I146="","",Gifts!I146)</f>
        <v/>
      </c>
      <c r="G158" s="42">
        <f>IF(Gifts!J146="","",Gifts!J146)</f>
        <v/>
      </c>
    </row>
    <row r="159" ht="16" customHeight="1">
      <c r="A159" s="39">
        <f>IF(Gifts!A147="","",Gifts!A147)</f>
        <v/>
      </c>
      <c r="B159" s="40">
        <f>IF(Gifts!B147="","",Gifts!B147)</f>
        <v/>
      </c>
      <c r="C159" s="40">
        <f>IF(Gifts!C147="","",Gifts!C147)</f>
        <v/>
      </c>
      <c r="D159" s="40">
        <f>IF(Gifts!D147="","",Gifts!D147)</f>
        <v/>
      </c>
      <c r="E159" s="41">
        <f>IF(Gifts!E147="","",Gifts!E147)</f>
        <v/>
      </c>
      <c r="F159" s="41">
        <f>IF(Gifts!I147="","",Gifts!I147)</f>
        <v/>
      </c>
      <c r="G159" s="42">
        <f>IF(Gifts!J147="","",Gifts!J147)</f>
        <v/>
      </c>
    </row>
    <row r="160" ht="16" customHeight="1">
      <c r="A160" s="39">
        <f>IF(Gifts!A148="","",Gifts!A148)</f>
        <v/>
      </c>
      <c r="B160" s="40">
        <f>IF(Gifts!B148="","",Gifts!B148)</f>
        <v/>
      </c>
      <c r="C160" s="40">
        <f>IF(Gifts!C148="","",Gifts!C148)</f>
        <v/>
      </c>
      <c r="D160" s="40">
        <f>IF(Gifts!D148="","",Gifts!D148)</f>
        <v/>
      </c>
      <c r="E160" s="41">
        <f>IF(Gifts!E148="","",Gifts!E148)</f>
        <v/>
      </c>
      <c r="F160" s="41">
        <f>IF(Gifts!I148="","",Gifts!I148)</f>
        <v/>
      </c>
      <c r="G160" s="42">
        <f>IF(Gifts!J148="","",Gifts!J148)</f>
        <v/>
      </c>
    </row>
    <row r="161" ht="16" customHeight="1">
      <c r="A161" s="39">
        <f>IF(Gifts!A149="","",Gifts!A149)</f>
        <v/>
      </c>
      <c r="B161" s="40">
        <f>IF(Gifts!B149="","",Gifts!B149)</f>
        <v/>
      </c>
      <c r="C161" s="40">
        <f>IF(Gifts!C149="","",Gifts!C149)</f>
        <v/>
      </c>
      <c r="D161" s="40">
        <f>IF(Gifts!D149="","",Gifts!D149)</f>
        <v/>
      </c>
      <c r="E161" s="41">
        <f>IF(Gifts!E149="","",Gifts!E149)</f>
        <v/>
      </c>
      <c r="F161" s="41">
        <f>IF(Gifts!I149="","",Gifts!I149)</f>
        <v/>
      </c>
      <c r="G161" s="42">
        <f>IF(Gifts!J149="","",Gifts!J149)</f>
        <v/>
      </c>
    </row>
    <row r="162" ht="16" customHeight="1">
      <c r="A162" s="39">
        <f>IF(Gifts!A150="","",Gifts!A150)</f>
        <v/>
      </c>
      <c r="B162" s="40">
        <f>IF(Gifts!B150="","",Gifts!B150)</f>
        <v/>
      </c>
      <c r="C162" s="40">
        <f>IF(Gifts!C150="","",Gifts!C150)</f>
        <v/>
      </c>
      <c r="D162" s="40">
        <f>IF(Gifts!D150="","",Gifts!D150)</f>
        <v/>
      </c>
      <c r="E162" s="41">
        <f>IF(Gifts!E150="","",Gifts!E150)</f>
        <v/>
      </c>
      <c r="F162" s="41">
        <f>IF(Gifts!I150="","",Gifts!I150)</f>
        <v/>
      </c>
      <c r="G162" s="42">
        <f>IF(Gifts!J150="","",Gifts!J150)</f>
        <v/>
      </c>
    </row>
    <row r="163" ht="16" customHeight="1">
      <c r="A163" s="39">
        <f>IF(Gifts!A151="","",Gifts!A151)</f>
        <v/>
      </c>
      <c r="B163" s="40">
        <f>IF(Gifts!B151="","",Gifts!B151)</f>
        <v/>
      </c>
      <c r="C163" s="40">
        <f>IF(Gifts!C151="","",Gifts!C151)</f>
        <v/>
      </c>
      <c r="D163" s="40">
        <f>IF(Gifts!D151="","",Gifts!D151)</f>
        <v/>
      </c>
      <c r="E163" s="41">
        <f>IF(Gifts!E151="","",Gifts!E151)</f>
        <v/>
      </c>
      <c r="F163" s="41">
        <f>IF(Gifts!I151="","",Gifts!I151)</f>
        <v/>
      </c>
      <c r="G163" s="42">
        <f>IF(Gifts!J151="","",Gifts!J151)</f>
        <v/>
      </c>
    </row>
    <row r="164" ht="16" customHeight="1">
      <c r="A164" s="39">
        <f>IF(Gifts!A152="","",Gifts!A152)</f>
        <v/>
      </c>
      <c r="B164" s="40">
        <f>IF(Gifts!B152="","",Gifts!B152)</f>
        <v/>
      </c>
      <c r="C164" s="40">
        <f>IF(Gifts!C152="","",Gifts!C152)</f>
        <v/>
      </c>
      <c r="D164" s="40">
        <f>IF(Gifts!D152="","",Gifts!D152)</f>
        <v/>
      </c>
      <c r="E164" s="41">
        <f>IF(Gifts!E152="","",Gifts!E152)</f>
        <v/>
      </c>
      <c r="F164" s="41">
        <f>IF(Gifts!I152="","",Gifts!I152)</f>
        <v/>
      </c>
      <c r="G164" s="42">
        <f>IF(Gifts!J152="","",Gifts!J152)</f>
        <v/>
      </c>
    </row>
    <row r="165" ht="16" customHeight="1">
      <c r="A165" s="39">
        <f>IF(Gifts!A153="","",Gifts!A153)</f>
        <v/>
      </c>
      <c r="B165" s="40">
        <f>IF(Gifts!B153="","",Gifts!B153)</f>
        <v/>
      </c>
      <c r="C165" s="40">
        <f>IF(Gifts!C153="","",Gifts!C153)</f>
        <v/>
      </c>
      <c r="D165" s="40">
        <f>IF(Gifts!D153="","",Gifts!D153)</f>
        <v/>
      </c>
      <c r="E165" s="41">
        <f>IF(Gifts!E153="","",Gifts!E153)</f>
        <v/>
      </c>
      <c r="F165" s="41">
        <f>IF(Gifts!I153="","",Gifts!I153)</f>
        <v/>
      </c>
      <c r="G165" s="42">
        <f>IF(Gifts!J153="","",Gifts!J153)</f>
        <v/>
      </c>
    </row>
    <row r="166" ht="16" customHeight="1">
      <c r="A166" s="39">
        <f>IF(Gifts!A154="","",Gifts!A154)</f>
        <v/>
      </c>
      <c r="B166" s="40">
        <f>IF(Gifts!B154="","",Gifts!B154)</f>
        <v/>
      </c>
      <c r="C166" s="40">
        <f>IF(Gifts!C154="","",Gifts!C154)</f>
        <v/>
      </c>
      <c r="D166" s="40">
        <f>IF(Gifts!D154="","",Gifts!D154)</f>
        <v/>
      </c>
      <c r="E166" s="41">
        <f>IF(Gifts!E154="","",Gifts!E154)</f>
        <v/>
      </c>
      <c r="F166" s="41">
        <f>IF(Gifts!I154="","",Gifts!I154)</f>
        <v/>
      </c>
      <c r="G166" s="42">
        <f>IF(Gifts!J154="","",Gifts!J154)</f>
        <v/>
      </c>
    </row>
    <row r="167" ht="16" customHeight="1">
      <c r="A167" s="39">
        <f>IF(Gifts!A155="","",Gifts!A155)</f>
        <v/>
      </c>
      <c r="B167" s="40">
        <f>IF(Gifts!B155="","",Gifts!B155)</f>
        <v/>
      </c>
      <c r="C167" s="40">
        <f>IF(Gifts!C155="","",Gifts!C155)</f>
        <v/>
      </c>
      <c r="D167" s="40">
        <f>IF(Gifts!D155="","",Gifts!D155)</f>
        <v/>
      </c>
      <c r="E167" s="41">
        <f>IF(Gifts!E155="","",Gifts!E155)</f>
        <v/>
      </c>
      <c r="F167" s="41">
        <f>IF(Gifts!I155="","",Gifts!I155)</f>
        <v/>
      </c>
      <c r="G167" s="42">
        <f>IF(Gifts!J155="","",Gifts!J155)</f>
        <v/>
      </c>
    </row>
    <row r="168" ht="16" customHeight="1">
      <c r="A168" s="39">
        <f>IF(Gifts!A156="","",Gifts!A156)</f>
        <v/>
      </c>
      <c r="B168" s="40">
        <f>IF(Gifts!B156="","",Gifts!B156)</f>
        <v/>
      </c>
      <c r="C168" s="40">
        <f>IF(Gifts!C156="","",Gifts!C156)</f>
        <v/>
      </c>
      <c r="D168" s="40">
        <f>IF(Gifts!D156="","",Gifts!D156)</f>
        <v/>
      </c>
      <c r="E168" s="41">
        <f>IF(Gifts!E156="","",Gifts!E156)</f>
        <v/>
      </c>
      <c r="F168" s="41">
        <f>IF(Gifts!I156="","",Gifts!I156)</f>
        <v/>
      </c>
      <c r="G168" s="42">
        <f>IF(Gifts!J156="","",Gifts!J156)</f>
        <v/>
      </c>
    </row>
    <row r="169" ht="16" customHeight="1">
      <c r="A169" s="39">
        <f>IF(Gifts!A157="","",Gifts!A157)</f>
        <v/>
      </c>
      <c r="B169" s="40">
        <f>IF(Gifts!B157="","",Gifts!B157)</f>
        <v/>
      </c>
      <c r="C169" s="40">
        <f>IF(Gifts!C157="","",Gifts!C157)</f>
        <v/>
      </c>
      <c r="D169" s="40">
        <f>IF(Gifts!D157="","",Gifts!D157)</f>
        <v/>
      </c>
      <c r="E169" s="41">
        <f>IF(Gifts!E157="","",Gifts!E157)</f>
        <v/>
      </c>
      <c r="F169" s="41">
        <f>IF(Gifts!I157="","",Gifts!I157)</f>
        <v/>
      </c>
      <c r="G169" s="42">
        <f>IF(Gifts!J157="","",Gifts!J157)</f>
        <v/>
      </c>
    </row>
    <row r="170" ht="16" customHeight="1">
      <c r="A170" s="39">
        <f>IF(Gifts!A158="","",Gifts!A158)</f>
        <v/>
      </c>
      <c r="B170" s="40">
        <f>IF(Gifts!B158="","",Gifts!B158)</f>
        <v/>
      </c>
      <c r="C170" s="40">
        <f>IF(Gifts!C158="","",Gifts!C158)</f>
        <v/>
      </c>
      <c r="D170" s="40">
        <f>IF(Gifts!D158="","",Gifts!D158)</f>
        <v/>
      </c>
      <c r="E170" s="41">
        <f>IF(Gifts!E158="","",Gifts!E158)</f>
        <v/>
      </c>
      <c r="F170" s="41">
        <f>IF(Gifts!I158="","",Gifts!I158)</f>
        <v/>
      </c>
      <c r="G170" s="42">
        <f>IF(Gifts!J158="","",Gifts!J158)</f>
        <v/>
      </c>
    </row>
    <row r="171" ht="22" customHeight="1">
      <c r="A171" s="29" t="n"/>
      <c r="B171" s="29" t="n"/>
      <c r="C171" s="29" t="n"/>
      <c r="D171" s="30" t="inlineStr">
        <is>
          <t>Totals</t>
        </is>
      </c>
      <c r="E171" s="31">
        <f>Gifts!E159</f>
        <v/>
      </c>
      <c r="F171" s="31">
        <f>Gifts!I159</f>
        <v/>
      </c>
      <c r="G171" s="29" t="n"/>
    </row>
    <row r="173" ht="18" customHeight="1">
      <c r="A173" s="43" t="inlineStr">
        <is>
          <t>Reading this</t>
        </is>
      </c>
      <c r="B173" s="44" t="n"/>
      <c r="C173" s="44" t="n"/>
      <c r="D173" s="44" t="n"/>
      <c r="E173" s="44" t="n"/>
      <c r="F173" s="44" t="n"/>
      <c r="G173" s="44" t="n"/>
    </row>
    <row r="174" ht="30" customHeight="1">
      <c r="A174" s="45" t="inlineStr">
        <is>
          <t>Thresholds: written acknowledgment for any gift of $250 or more; Form 8283 above $500 of non-cash gifts; qualified appraisal above $5,000 per item or group.</t>
        </is>
      </c>
    </row>
    <row r="175" ht="30" customHeight="1">
      <c r="A175" s="45" t="inlineStr">
        <is>
          <t>Deductible amounts are before the AGI limits (60% of AGI for cash, 30% for appreciated property) and the 0.5%-of-AGI floor that applies from 2026. Your CPA applies those.</t>
        </is>
      </c>
    </row>
    <row r="177" ht="30" customHeight="1">
      <c r="A177" s="6" t="inlineStr">
        <is>
          <t>Prepared for planning with Grott Luker &amp; Co. This workbook organizes your records; it does not determine what is deductible. Entries are your own; review with your Grott Luker CPA before anything is used in a return or a decision.</t>
        </is>
      </c>
    </row>
    <row r="179" ht="15" customHeight="1">
      <c r="A179" s="7" t="inlineStr">
        <is>
          <t>Grott Luker &amp; Co.</t>
        </is>
      </c>
    </row>
    <row r="180" ht="15" customHeight="1">
      <c r="A180" s="8" t="inlineStr">
        <is>
          <t>Certified Public Accountants · Portsmouth, New Hampshire · Accounting | Tax Planning | Advisory</t>
        </is>
      </c>
    </row>
    <row r="181" ht="15" customHeight="1">
      <c r="A181" s="8" t="inlineStr">
        <is>
          <t>Questions about this workbook go to your Grott Luker CPA.</t>
        </is>
      </c>
    </row>
    <row r="182" ht="15" customHeight="1">
      <c r="A182" s="8" t="inlineStr"/>
    </row>
    <row r="183" ht="15" customHeight="1">
      <c r="A183" s="9" t="inlineStr">
        <is>
          <t>Powered by BlueLine Advisors</t>
        </is>
      </c>
    </row>
    <row r="184" ht="30" customHeight="1">
      <c r="A184"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1">
    <mergeCell ref="A181:G181"/>
    <mergeCell ref="E13:G13"/>
    <mergeCell ref="A15:B15"/>
    <mergeCell ref="A8:G8"/>
    <mergeCell ref="C15:D15"/>
    <mergeCell ref="A11:B11"/>
    <mergeCell ref="A184:G184"/>
    <mergeCell ref="A180:G180"/>
    <mergeCell ref="E15:G15"/>
    <mergeCell ref="A16:B16"/>
    <mergeCell ref="A9:G9"/>
    <mergeCell ref="E11:G11"/>
    <mergeCell ref="C16:D16"/>
    <mergeCell ref="A182:G182"/>
    <mergeCell ref="A12:B12"/>
    <mergeCell ref="E16:G16"/>
    <mergeCell ref="C12:D12"/>
    <mergeCell ref="C11:D11"/>
    <mergeCell ref="E12:G12"/>
    <mergeCell ref="A7:G7"/>
    <mergeCell ref="A17:B17"/>
    <mergeCell ref="A177:G177"/>
    <mergeCell ref="A174:G174"/>
    <mergeCell ref="C17:D17"/>
    <mergeCell ref="A183:G183"/>
    <mergeCell ref="A13:B13"/>
    <mergeCell ref="E17:G17"/>
    <mergeCell ref="C13:D13"/>
    <mergeCell ref="A179:G179"/>
    <mergeCell ref="A175:G175"/>
    <mergeCell ref="A5:G5"/>
  </mergeCells>
  <conditionalFormatting sqref="A21:G170">
    <cfRule type="expression" priority="1" dxfId="3">
      <formula>$E21&lt;&gt;""</formula>
    </cfRule>
  </conditionalFormatting>
  <conditionalFormatting sqref="G21:G170">
    <cfRule type="expression" priority="2" dxfId="4">
      <formula>AND($G21&lt;&gt;"",$G21&lt;&gt;"—",$G21&lt;&gt;"Acknowledgment on file")</formula>
    </cfRule>
  </conditionalFormatting>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2026-10-02T01:44:22Z</dcterms:created>
  <dcterms:modified xsi:type="dcterms:W3CDTF">2026-10-02T01:44:22Z</dcterms:modified>
</cp:coreProperties>
</file>