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Mileage" sheetId="2" state="visible" r:id="rId2"/>
    <sheet name="Expenses" sheetId="3" state="visible" r:id="rId3"/>
    <sheet name="Summary" sheetId="4" state="visible" r:id="rId4"/>
    <sheet name="Rates" sheetId="5" state="visible" r:id="rId5"/>
  </sheets>
  <definedNames/>
  <calcPr calcId="124519" fullCalcOnLoad="1"/>
</workbook>
</file>

<file path=xl/styles.xml><?xml version="1.0" encoding="utf-8"?>
<styleSheet xmlns="http://schemas.openxmlformats.org/spreadsheetml/2006/main">
  <numFmts count="4">
    <numFmt numFmtId="164" formatCode="yyyy-mm-dd"/>
    <numFmt numFmtId="165" formatCode="mm/dd/yyyy"/>
    <numFmt numFmtId="166" formatCode="$0.000"/>
    <numFmt numFmtId="167" formatCode="$#,##0.00;($#,##0.00);&quot;-&quot;"/>
  </numFmts>
  <fonts count="8">
    <font>
      <name val="Calibri"/>
      <family val="2"/>
      <color theme="1"/>
      <sz val="11"/>
      <scheme val="minor"/>
    </font>
    <font>
      <name val="Arial"/>
      <b val="1"/>
      <color rgb="000F2440"/>
      <sz val="16"/>
    </font>
    <font>
      <name val="Arial"/>
      <b val="1"/>
      <sz val="10"/>
    </font>
    <font>
      <name val="Arial"/>
      <sz val="10"/>
    </font>
    <font>
      <name val="Arial"/>
      <i val="1"/>
      <color rgb="00726D63"/>
      <sz val="9"/>
    </font>
    <font>
      <name val="Arial"/>
      <color rgb="005B6472"/>
      <sz val="10"/>
    </font>
    <font>
      <name val="Arial"/>
      <b val="1"/>
      <color rgb="00FFFFFF"/>
      <sz val="10"/>
    </font>
    <font>
      <name val="Arial"/>
      <b val="1"/>
      <color rgb="000F2440"/>
      <sz val="12"/>
    </font>
  </fonts>
  <fills count="4">
    <fill>
      <patternFill/>
    </fill>
    <fill>
      <patternFill patternType="gray125"/>
    </fill>
    <fill>
      <patternFill patternType="solid">
        <fgColor rgb="000F2440"/>
      </patternFill>
    </fill>
    <fill>
      <patternFill patternType="solid">
        <fgColor rgb="00FFF7D6"/>
      </patternFill>
    </fill>
  </fills>
  <borders count="2">
    <border>
      <left/>
      <right/>
      <top/>
      <bottom/>
      <diagonal/>
    </border>
    <border>
      <left style="thin">
        <color rgb="00DDD7C8"/>
      </left>
      <right style="thin">
        <color rgb="00DDD7C8"/>
      </right>
      <top style="thin">
        <color rgb="00DDD7C8"/>
      </top>
      <bottom style="thin">
        <color rgb="00DDD7C8"/>
      </bottom>
    </border>
  </borders>
  <cellStyleXfs count="1">
    <xf numFmtId="0" fontId="0" fillId="0" borderId="0"/>
  </cellStyleXfs>
  <cellXfs count="2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5" fillId="0" borderId="0" pivotButton="0" quotePrefix="0" xfId="0"/>
    <xf numFmtId="0" fontId="4" fillId="0" borderId="0" pivotButton="0" quotePrefix="0" xfId="0"/>
    <xf numFmtId="0" fontId="4" fillId="3" borderId="0" pivotButton="0" quotePrefix="0" xfId="0"/>
    <xf numFmtId="0" fontId="6" fillId="2" borderId="1" applyAlignment="1" pivotButton="0" quotePrefix="0" xfId="0">
      <alignment horizontal="center" vertical="center" wrapText="1"/>
    </xf>
    <xf numFmtId="165" fontId="3" fillId="3" borderId="1" pivotButton="0" quotePrefix="0" xfId="0"/>
    <xf numFmtId="0" fontId="3" fillId="3" borderId="1" pivotButton="0" quotePrefix="0" xfId="0"/>
    <xf numFmtId="3" fontId="3" fillId="3" borderId="1" pivotButton="0" quotePrefix="0" xfId="0"/>
    <xf numFmtId="166" fontId="3" fillId="0" borderId="1" pivotButton="0" quotePrefix="0" xfId="0"/>
    <xf numFmtId="167" fontId="3" fillId="0" borderId="1" pivotButton="0" quotePrefix="0" xfId="0"/>
    <xf numFmtId="0" fontId="2" fillId="0" borderId="0" pivotButton="0" quotePrefix="0" xfId="0"/>
    <xf numFmtId="3" fontId="2" fillId="0" borderId="0" pivotButton="0" quotePrefix="0" xfId="0"/>
    <xf numFmtId="167" fontId="2" fillId="0" borderId="0" pivotButton="0" quotePrefix="0" xfId="0"/>
    <xf numFmtId="167" fontId="3" fillId="3" borderId="1" pivotButton="0" quotePrefix="0" xfId="0"/>
    <xf numFmtId="0" fontId="3" fillId="0" borderId="1" pivotButton="0" quotePrefix="0" xfId="0"/>
    <xf numFmtId="9" fontId="3" fillId="0" borderId="1" pivotButton="0" quotePrefix="0" xfId="0"/>
    <xf numFmtId="3" fontId="0" fillId="0" borderId="1" pivotButton="0" quotePrefix="0" xfId="0"/>
    <xf numFmtId="167" fontId="0" fillId="0" borderId="1" pivotButton="0" quotePrefix="0" xfId="0"/>
    <xf numFmtId="167" fontId="7" fillId="0" borderId="0" pivotButton="0" quotePrefix="0" xfId="0"/>
    <xf numFmtId="165" fontId="3" fillId="0" borderId="1" pivotButton="0" quotePrefix="0" xfId="0"/>
    <xf numFmtId="0" fontId="3" fillId="0" borderId="1" applyAlignment="1" pivotButton="0" quotePrefix="0" xfId="0">
      <alignment vertical="top" wrapText="1"/>
    </xf>
    <xf numFmtId="9"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Grott Luker toolkit</author>
  </authors>
  <commentList>
    <comment ref="A2" authorId="0" shapeId="0">
      <text>
        <t>Dates before the first rate period use that period's rate.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ht="28" customHeight="1">
      <c r="A1" s="1" t="inlineStr">
        <is>
          <t>Mileage &amp; Expense Log — 2026</t>
        </is>
      </c>
    </row>
    <row r="2" ht="18" customHeight="1">
      <c r="A2" s="2" t="inlineStr">
        <is>
          <t>How to use this workbook</t>
        </is>
      </c>
    </row>
    <row r="3" ht="32" customHeight="1">
      <c r="A3" s="3" t="inlineStr">
        <is>
          <t>1. Log every trip on the Mileage sheet: date, purpose (Business, Charity, or Medical), where you went, why, and the miles. The IRS rate for that date fills in by itself and the deduction is calculated.</t>
        </is>
      </c>
    </row>
    <row r="4" ht="32" customHeight="1">
      <c r="A4" s="3" t="inlineStr">
        <is>
          <t>2. Log business costs on the Expenses sheet: date, category, client or matter, description, amount. The sheet shows whether the category is usually deductible, partly deductible, something for your CPA, or not deductible.</t>
        </is>
      </c>
    </row>
    <row r="5" ht="32" customHeight="1">
      <c r="A5" s="3" t="inlineStr">
        <is>
          <t>3. The Summary sheet totals everything. In January, send the whole file to Grott Luker &amp; Co., or type the figures into the online log at the link your CPA sent.</t>
        </is>
      </c>
    </row>
    <row r="6" ht="18" customHeight="1">
      <c r="A6" s="3" t="inlineStr"/>
    </row>
    <row r="7" ht="18" customHeight="1">
      <c r="A7" s="2" t="inlineStr">
        <is>
          <t>Rules of thumb</t>
        </is>
      </c>
    </row>
    <row r="8" ht="18" customHeight="1">
      <c r="A8" s="3" t="inlineStr">
        <is>
          <t>• Keep the log as you go. A reconstructed log is the first thing an auditor challenges.</t>
        </is>
      </c>
    </row>
    <row r="9" ht="32" customHeight="1">
      <c r="A9" s="3" t="inlineStr">
        <is>
          <t>• Commuting from home to your regular workplace is not deductible, whatever you carry or discuss on the way.</t>
        </is>
      </c>
    </row>
    <row r="10" ht="32" customHeight="1">
      <c r="A10" s="3" t="inlineStr">
        <is>
          <t>• Parking and tolls are deductible on top of the mileage rate; gas, repairs, and car insurance are not — they are already inside the rate.</t>
        </is>
      </c>
    </row>
    <row r="11" ht="32" customHeight="1">
      <c r="A11" s="3" t="inlineStr">
        <is>
          <t>• Business meals are 50% deductible when business is discussed and you are present. Note who and what. Entertainment is not deductible.</t>
        </is>
      </c>
    </row>
    <row r="12" ht="32" customHeight="1">
      <c r="A12" s="3" t="inlineStr">
        <is>
          <t>• Equipment under $2,500 per item can usually be expensed; note the cost per item for anything larger.</t>
        </is>
      </c>
    </row>
    <row r="13" ht="18" customHeight="1">
      <c r="A13" s="3" t="inlineStr"/>
    </row>
    <row r="14" ht="32" customHeight="1">
      <c r="A14" s="4" t="inlineStr">
        <is>
          <t>Yellow cells are yours to fill in. White cells calculate themselves — leave them alone. Rates are on the Rates sheet; verify each January.</t>
        </is>
      </c>
    </row>
    <row r="15" ht="32" customHeight="1">
      <c r="A15" s="4" t="inlineStr">
        <is>
          <t>This workbook organizes records; it does not determine deductibility. Review with Grott Luker &amp; Co. before filing.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07"/>
  <sheetViews>
    <sheetView workbookViewId="0">
      <pane ySplit="5" topLeftCell="A6" activePane="bottomLeft" state="frozen"/>
      <selection pane="bottomLeft" activeCell="A1" sqref="A1"/>
    </sheetView>
  </sheetViews>
  <sheetFormatPr baseColWidth="8" defaultRowHeight="15"/>
  <cols>
    <col width="13" customWidth="1" min="1" max="1"/>
    <col width="14" customWidth="1" min="2" max="2"/>
    <col width="24" customWidth="1" min="3" max="3"/>
    <col width="36" customWidth="1" min="4" max="4"/>
    <col width="10" customWidth="1" min="5" max="5"/>
    <col width="10" customWidth="1" min="6" max="6"/>
    <col width="13" customWidth="1" min="7" max="7"/>
  </cols>
  <sheetData>
    <row r="1" ht="26" customHeight="1">
      <c r="A1" s="5" t="inlineStr">
        <is>
          <t>Mileage log — 2026</t>
        </is>
      </c>
    </row>
    <row r="2">
      <c r="A2" s="6" t="inlineStr">
        <is>
          <t>One row per trip. The rate and deduction fill in from the date and purpose.</t>
        </is>
      </c>
    </row>
    <row r="3">
      <c r="A3" s="7" t="inlineStr">
        <is>
          <t>Grott Luker &amp; Co. · Client Decision Support Toolkit · platform by BlueLine Advisors</t>
        </is>
      </c>
    </row>
    <row r="4">
      <c r="A4" s="8" t="inlineStr">
        <is>
          <t>Yellow cells are yours to fill in. White cells calculate themselves — leave them alone.</t>
        </is>
      </c>
    </row>
    <row r="5" ht="30" customHeight="1">
      <c r="A5" s="9" t="inlineStr">
        <is>
          <t>Date</t>
        </is>
      </c>
      <c r="B5" s="9" t="inlineStr">
        <is>
          <t>Purpose</t>
        </is>
      </c>
      <c r="C5" s="9" t="inlineStr">
        <is>
          <t>Client / where</t>
        </is>
      </c>
      <c r="D5" s="9" t="inlineStr">
        <is>
          <t>Description</t>
        </is>
      </c>
      <c r="E5" s="9" t="inlineStr">
        <is>
          <t>Miles</t>
        </is>
      </c>
      <c r="F5" s="9" t="inlineStr">
        <is>
          <t>Rate</t>
        </is>
      </c>
      <c r="G5" s="9" t="inlineStr">
        <is>
          <t>Deduction</t>
        </is>
      </c>
    </row>
    <row r="6">
      <c r="A6" s="10" t="n"/>
      <c r="B6" s="11" t="n"/>
      <c r="C6" s="11" t="n"/>
      <c r="D6" s="11" t="n"/>
      <c r="E6" s="12" t="n"/>
      <c r="F6" s="13">
        <f>IF(OR(A6="",B6=""),"",INDEX(Rates!$B$6:$D$9,MATCH(A6,Rates!$A$6:$A$9,1),MATCH(B6,Rates!$B$5:$D$5,0)))</f>
        <v/>
      </c>
      <c r="G6" s="14">
        <f>IF(F6="","",E6*F6)</f>
        <v/>
      </c>
    </row>
    <row r="7">
      <c r="A7" s="10" t="n"/>
      <c r="B7" s="11" t="n"/>
      <c r="C7" s="11" t="n"/>
      <c r="D7" s="11" t="n"/>
      <c r="E7" s="12" t="n"/>
      <c r="F7" s="13">
        <f>IF(OR(A7="",B7=""),"",INDEX(Rates!$B$6:$D$9,MATCH(A7,Rates!$A$6:$A$9,1),MATCH(B7,Rates!$B$5:$D$5,0)))</f>
        <v/>
      </c>
      <c r="G7" s="14">
        <f>IF(F7="","",E7*F7)</f>
        <v/>
      </c>
    </row>
    <row r="8">
      <c r="A8" s="10" t="n"/>
      <c r="B8" s="11" t="n"/>
      <c r="C8" s="11" t="n"/>
      <c r="D8" s="11" t="n"/>
      <c r="E8" s="12" t="n"/>
      <c r="F8" s="13">
        <f>IF(OR(A8="",B8=""),"",INDEX(Rates!$B$6:$D$9,MATCH(A8,Rates!$A$6:$A$9,1),MATCH(B8,Rates!$B$5:$D$5,0)))</f>
        <v/>
      </c>
      <c r="G8" s="14">
        <f>IF(F8="","",E8*F8)</f>
        <v/>
      </c>
    </row>
    <row r="9">
      <c r="A9" s="10" t="n"/>
      <c r="B9" s="11" t="n"/>
      <c r="C9" s="11" t="n"/>
      <c r="D9" s="11" t="n"/>
      <c r="E9" s="12" t="n"/>
      <c r="F9" s="13">
        <f>IF(OR(A9="",B9=""),"",INDEX(Rates!$B$6:$D$9,MATCH(A9,Rates!$A$6:$A$9,1),MATCH(B9,Rates!$B$5:$D$5,0)))</f>
        <v/>
      </c>
      <c r="G9" s="14">
        <f>IF(F9="","",E9*F9)</f>
        <v/>
      </c>
    </row>
    <row r="10">
      <c r="A10" s="10" t="n"/>
      <c r="B10" s="11" t="n"/>
      <c r="C10" s="11" t="n"/>
      <c r="D10" s="11" t="n"/>
      <c r="E10" s="12" t="n"/>
      <c r="F10" s="13">
        <f>IF(OR(A10="",B10=""),"",INDEX(Rates!$B$6:$D$9,MATCH(A10,Rates!$A$6:$A$9,1),MATCH(B10,Rates!$B$5:$D$5,0)))</f>
        <v/>
      </c>
      <c r="G10" s="14">
        <f>IF(F10="","",E10*F10)</f>
        <v/>
      </c>
    </row>
    <row r="11">
      <c r="A11" s="10" t="n"/>
      <c r="B11" s="11" t="n"/>
      <c r="C11" s="11" t="n"/>
      <c r="D11" s="11" t="n"/>
      <c r="E11" s="12" t="n"/>
      <c r="F11" s="13">
        <f>IF(OR(A11="",B11=""),"",INDEX(Rates!$B$6:$D$9,MATCH(A11,Rates!$A$6:$A$9,1),MATCH(B11,Rates!$B$5:$D$5,0)))</f>
        <v/>
      </c>
      <c r="G11" s="14">
        <f>IF(F11="","",E11*F11)</f>
        <v/>
      </c>
    </row>
    <row r="12">
      <c r="A12" s="10" t="n"/>
      <c r="B12" s="11" t="n"/>
      <c r="C12" s="11" t="n"/>
      <c r="D12" s="11" t="n"/>
      <c r="E12" s="12" t="n"/>
      <c r="F12" s="13">
        <f>IF(OR(A12="",B12=""),"",INDEX(Rates!$B$6:$D$9,MATCH(A12,Rates!$A$6:$A$9,1),MATCH(B12,Rates!$B$5:$D$5,0)))</f>
        <v/>
      </c>
      <c r="G12" s="14">
        <f>IF(F12="","",E12*F12)</f>
        <v/>
      </c>
    </row>
    <row r="13">
      <c r="A13" s="10" t="n"/>
      <c r="B13" s="11" t="n"/>
      <c r="C13" s="11" t="n"/>
      <c r="D13" s="11" t="n"/>
      <c r="E13" s="12" t="n"/>
      <c r="F13" s="13">
        <f>IF(OR(A13="",B13=""),"",INDEX(Rates!$B$6:$D$9,MATCH(A13,Rates!$A$6:$A$9,1),MATCH(B13,Rates!$B$5:$D$5,0)))</f>
        <v/>
      </c>
      <c r="G13" s="14">
        <f>IF(F13="","",E13*F13)</f>
        <v/>
      </c>
    </row>
    <row r="14">
      <c r="A14" s="10" t="n"/>
      <c r="B14" s="11" t="n"/>
      <c r="C14" s="11" t="n"/>
      <c r="D14" s="11" t="n"/>
      <c r="E14" s="12" t="n"/>
      <c r="F14" s="13">
        <f>IF(OR(A14="",B14=""),"",INDEX(Rates!$B$6:$D$9,MATCH(A14,Rates!$A$6:$A$9,1),MATCH(B14,Rates!$B$5:$D$5,0)))</f>
        <v/>
      </c>
      <c r="G14" s="14">
        <f>IF(F14="","",E14*F14)</f>
        <v/>
      </c>
    </row>
    <row r="15">
      <c r="A15" s="10" t="n"/>
      <c r="B15" s="11" t="n"/>
      <c r="C15" s="11" t="n"/>
      <c r="D15" s="11" t="n"/>
      <c r="E15" s="12" t="n"/>
      <c r="F15" s="13">
        <f>IF(OR(A15="",B15=""),"",INDEX(Rates!$B$6:$D$9,MATCH(A15,Rates!$A$6:$A$9,1),MATCH(B15,Rates!$B$5:$D$5,0)))</f>
        <v/>
      </c>
      <c r="G15" s="14">
        <f>IF(F15="","",E15*F15)</f>
        <v/>
      </c>
    </row>
    <row r="16">
      <c r="A16" s="10" t="n"/>
      <c r="B16" s="11" t="n"/>
      <c r="C16" s="11" t="n"/>
      <c r="D16" s="11" t="n"/>
      <c r="E16" s="12" t="n"/>
      <c r="F16" s="13">
        <f>IF(OR(A16="",B16=""),"",INDEX(Rates!$B$6:$D$9,MATCH(A16,Rates!$A$6:$A$9,1),MATCH(B16,Rates!$B$5:$D$5,0)))</f>
        <v/>
      </c>
      <c r="G16" s="14">
        <f>IF(F16="","",E16*F16)</f>
        <v/>
      </c>
    </row>
    <row r="17">
      <c r="A17" s="10" t="n"/>
      <c r="B17" s="11" t="n"/>
      <c r="C17" s="11" t="n"/>
      <c r="D17" s="11" t="n"/>
      <c r="E17" s="12" t="n"/>
      <c r="F17" s="13">
        <f>IF(OR(A17="",B17=""),"",INDEX(Rates!$B$6:$D$9,MATCH(A17,Rates!$A$6:$A$9,1),MATCH(B17,Rates!$B$5:$D$5,0)))</f>
        <v/>
      </c>
      <c r="G17" s="14">
        <f>IF(F17="","",E17*F17)</f>
        <v/>
      </c>
    </row>
    <row r="18">
      <c r="A18" s="10" t="n"/>
      <c r="B18" s="11" t="n"/>
      <c r="C18" s="11" t="n"/>
      <c r="D18" s="11" t="n"/>
      <c r="E18" s="12" t="n"/>
      <c r="F18" s="13">
        <f>IF(OR(A18="",B18=""),"",INDEX(Rates!$B$6:$D$9,MATCH(A18,Rates!$A$6:$A$9,1),MATCH(B18,Rates!$B$5:$D$5,0)))</f>
        <v/>
      </c>
      <c r="G18" s="14">
        <f>IF(F18="","",E18*F18)</f>
        <v/>
      </c>
    </row>
    <row r="19">
      <c r="A19" s="10" t="n"/>
      <c r="B19" s="11" t="n"/>
      <c r="C19" s="11" t="n"/>
      <c r="D19" s="11" t="n"/>
      <c r="E19" s="12" t="n"/>
      <c r="F19" s="13">
        <f>IF(OR(A19="",B19=""),"",INDEX(Rates!$B$6:$D$9,MATCH(A19,Rates!$A$6:$A$9,1),MATCH(B19,Rates!$B$5:$D$5,0)))</f>
        <v/>
      </c>
      <c r="G19" s="14">
        <f>IF(F19="","",E19*F19)</f>
        <v/>
      </c>
    </row>
    <row r="20">
      <c r="A20" s="10" t="n"/>
      <c r="B20" s="11" t="n"/>
      <c r="C20" s="11" t="n"/>
      <c r="D20" s="11" t="n"/>
      <c r="E20" s="12" t="n"/>
      <c r="F20" s="13">
        <f>IF(OR(A20="",B20=""),"",INDEX(Rates!$B$6:$D$9,MATCH(A20,Rates!$A$6:$A$9,1),MATCH(B20,Rates!$B$5:$D$5,0)))</f>
        <v/>
      </c>
      <c r="G20" s="14">
        <f>IF(F20="","",E20*F20)</f>
        <v/>
      </c>
    </row>
    <row r="21">
      <c r="A21" s="10" t="n"/>
      <c r="B21" s="11" t="n"/>
      <c r="C21" s="11" t="n"/>
      <c r="D21" s="11" t="n"/>
      <c r="E21" s="12" t="n"/>
      <c r="F21" s="13">
        <f>IF(OR(A21="",B21=""),"",INDEX(Rates!$B$6:$D$9,MATCH(A21,Rates!$A$6:$A$9,1),MATCH(B21,Rates!$B$5:$D$5,0)))</f>
        <v/>
      </c>
      <c r="G21" s="14">
        <f>IF(F21="","",E21*F21)</f>
        <v/>
      </c>
    </row>
    <row r="22">
      <c r="A22" s="10" t="n"/>
      <c r="B22" s="11" t="n"/>
      <c r="C22" s="11" t="n"/>
      <c r="D22" s="11" t="n"/>
      <c r="E22" s="12" t="n"/>
      <c r="F22" s="13">
        <f>IF(OR(A22="",B22=""),"",INDEX(Rates!$B$6:$D$9,MATCH(A22,Rates!$A$6:$A$9,1),MATCH(B22,Rates!$B$5:$D$5,0)))</f>
        <v/>
      </c>
      <c r="G22" s="14">
        <f>IF(F22="","",E22*F22)</f>
        <v/>
      </c>
    </row>
    <row r="23">
      <c r="A23" s="10" t="n"/>
      <c r="B23" s="11" t="n"/>
      <c r="C23" s="11" t="n"/>
      <c r="D23" s="11" t="n"/>
      <c r="E23" s="12" t="n"/>
      <c r="F23" s="13">
        <f>IF(OR(A23="",B23=""),"",INDEX(Rates!$B$6:$D$9,MATCH(A23,Rates!$A$6:$A$9,1),MATCH(B23,Rates!$B$5:$D$5,0)))</f>
        <v/>
      </c>
      <c r="G23" s="14">
        <f>IF(F23="","",E23*F23)</f>
        <v/>
      </c>
    </row>
    <row r="24">
      <c r="A24" s="10" t="n"/>
      <c r="B24" s="11" t="n"/>
      <c r="C24" s="11" t="n"/>
      <c r="D24" s="11" t="n"/>
      <c r="E24" s="12" t="n"/>
      <c r="F24" s="13">
        <f>IF(OR(A24="",B24=""),"",INDEX(Rates!$B$6:$D$9,MATCH(A24,Rates!$A$6:$A$9,1),MATCH(B24,Rates!$B$5:$D$5,0)))</f>
        <v/>
      </c>
      <c r="G24" s="14">
        <f>IF(F24="","",E24*F24)</f>
        <v/>
      </c>
    </row>
    <row r="25">
      <c r="A25" s="10" t="n"/>
      <c r="B25" s="11" t="n"/>
      <c r="C25" s="11" t="n"/>
      <c r="D25" s="11" t="n"/>
      <c r="E25" s="12" t="n"/>
      <c r="F25" s="13">
        <f>IF(OR(A25="",B25=""),"",INDEX(Rates!$B$6:$D$9,MATCH(A25,Rates!$A$6:$A$9,1),MATCH(B25,Rates!$B$5:$D$5,0)))</f>
        <v/>
      </c>
      <c r="G25" s="14">
        <f>IF(F25="","",E25*F25)</f>
        <v/>
      </c>
    </row>
    <row r="26">
      <c r="A26" s="10" t="n"/>
      <c r="B26" s="11" t="n"/>
      <c r="C26" s="11" t="n"/>
      <c r="D26" s="11" t="n"/>
      <c r="E26" s="12" t="n"/>
      <c r="F26" s="13">
        <f>IF(OR(A26="",B26=""),"",INDEX(Rates!$B$6:$D$9,MATCH(A26,Rates!$A$6:$A$9,1),MATCH(B26,Rates!$B$5:$D$5,0)))</f>
        <v/>
      </c>
      <c r="G26" s="14">
        <f>IF(F26="","",E26*F26)</f>
        <v/>
      </c>
    </row>
    <row r="27">
      <c r="A27" s="10" t="n"/>
      <c r="B27" s="11" t="n"/>
      <c r="C27" s="11" t="n"/>
      <c r="D27" s="11" t="n"/>
      <c r="E27" s="12" t="n"/>
      <c r="F27" s="13">
        <f>IF(OR(A27="",B27=""),"",INDEX(Rates!$B$6:$D$9,MATCH(A27,Rates!$A$6:$A$9,1),MATCH(B27,Rates!$B$5:$D$5,0)))</f>
        <v/>
      </c>
      <c r="G27" s="14">
        <f>IF(F27="","",E27*F27)</f>
        <v/>
      </c>
    </row>
    <row r="28">
      <c r="A28" s="10" t="n"/>
      <c r="B28" s="11" t="n"/>
      <c r="C28" s="11" t="n"/>
      <c r="D28" s="11" t="n"/>
      <c r="E28" s="12" t="n"/>
      <c r="F28" s="13">
        <f>IF(OR(A28="",B28=""),"",INDEX(Rates!$B$6:$D$9,MATCH(A28,Rates!$A$6:$A$9,1),MATCH(B28,Rates!$B$5:$D$5,0)))</f>
        <v/>
      </c>
      <c r="G28" s="14">
        <f>IF(F28="","",E28*F28)</f>
        <v/>
      </c>
    </row>
    <row r="29">
      <c r="A29" s="10" t="n"/>
      <c r="B29" s="11" t="n"/>
      <c r="C29" s="11" t="n"/>
      <c r="D29" s="11" t="n"/>
      <c r="E29" s="12" t="n"/>
      <c r="F29" s="13">
        <f>IF(OR(A29="",B29=""),"",INDEX(Rates!$B$6:$D$9,MATCH(A29,Rates!$A$6:$A$9,1),MATCH(B29,Rates!$B$5:$D$5,0)))</f>
        <v/>
      </c>
      <c r="G29" s="14">
        <f>IF(F29="","",E29*F29)</f>
        <v/>
      </c>
    </row>
    <row r="30">
      <c r="A30" s="10" t="n"/>
      <c r="B30" s="11" t="n"/>
      <c r="C30" s="11" t="n"/>
      <c r="D30" s="11" t="n"/>
      <c r="E30" s="12" t="n"/>
      <c r="F30" s="13">
        <f>IF(OR(A30="",B30=""),"",INDEX(Rates!$B$6:$D$9,MATCH(A30,Rates!$A$6:$A$9,1),MATCH(B30,Rates!$B$5:$D$5,0)))</f>
        <v/>
      </c>
      <c r="G30" s="14">
        <f>IF(F30="","",E30*F30)</f>
        <v/>
      </c>
    </row>
    <row r="31">
      <c r="A31" s="10" t="n"/>
      <c r="B31" s="11" t="n"/>
      <c r="C31" s="11" t="n"/>
      <c r="D31" s="11" t="n"/>
      <c r="E31" s="12" t="n"/>
      <c r="F31" s="13">
        <f>IF(OR(A31="",B31=""),"",INDEX(Rates!$B$6:$D$9,MATCH(A31,Rates!$A$6:$A$9,1),MATCH(B31,Rates!$B$5:$D$5,0)))</f>
        <v/>
      </c>
      <c r="G31" s="14">
        <f>IF(F31="","",E31*F31)</f>
        <v/>
      </c>
    </row>
    <row r="32">
      <c r="A32" s="10" t="n"/>
      <c r="B32" s="11" t="n"/>
      <c r="C32" s="11" t="n"/>
      <c r="D32" s="11" t="n"/>
      <c r="E32" s="12" t="n"/>
      <c r="F32" s="13">
        <f>IF(OR(A32="",B32=""),"",INDEX(Rates!$B$6:$D$9,MATCH(A32,Rates!$A$6:$A$9,1),MATCH(B32,Rates!$B$5:$D$5,0)))</f>
        <v/>
      </c>
      <c r="G32" s="14">
        <f>IF(F32="","",E32*F32)</f>
        <v/>
      </c>
    </row>
    <row r="33">
      <c r="A33" s="10" t="n"/>
      <c r="B33" s="11" t="n"/>
      <c r="C33" s="11" t="n"/>
      <c r="D33" s="11" t="n"/>
      <c r="E33" s="12" t="n"/>
      <c r="F33" s="13">
        <f>IF(OR(A33="",B33=""),"",INDEX(Rates!$B$6:$D$9,MATCH(A33,Rates!$A$6:$A$9,1),MATCH(B33,Rates!$B$5:$D$5,0)))</f>
        <v/>
      </c>
      <c r="G33" s="14">
        <f>IF(F33="","",E33*F33)</f>
        <v/>
      </c>
    </row>
    <row r="34">
      <c r="A34" s="10" t="n"/>
      <c r="B34" s="11" t="n"/>
      <c r="C34" s="11" t="n"/>
      <c r="D34" s="11" t="n"/>
      <c r="E34" s="12" t="n"/>
      <c r="F34" s="13">
        <f>IF(OR(A34="",B34=""),"",INDEX(Rates!$B$6:$D$9,MATCH(A34,Rates!$A$6:$A$9,1),MATCH(B34,Rates!$B$5:$D$5,0)))</f>
        <v/>
      </c>
      <c r="G34" s="14">
        <f>IF(F34="","",E34*F34)</f>
        <v/>
      </c>
    </row>
    <row r="35">
      <c r="A35" s="10" t="n"/>
      <c r="B35" s="11" t="n"/>
      <c r="C35" s="11" t="n"/>
      <c r="D35" s="11" t="n"/>
      <c r="E35" s="12" t="n"/>
      <c r="F35" s="13">
        <f>IF(OR(A35="",B35=""),"",INDEX(Rates!$B$6:$D$9,MATCH(A35,Rates!$A$6:$A$9,1),MATCH(B35,Rates!$B$5:$D$5,0)))</f>
        <v/>
      </c>
      <c r="G35" s="14">
        <f>IF(F35="","",E35*F35)</f>
        <v/>
      </c>
    </row>
    <row r="36">
      <c r="A36" s="10" t="n"/>
      <c r="B36" s="11" t="n"/>
      <c r="C36" s="11" t="n"/>
      <c r="D36" s="11" t="n"/>
      <c r="E36" s="12" t="n"/>
      <c r="F36" s="13">
        <f>IF(OR(A36="",B36=""),"",INDEX(Rates!$B$6:$D$9,MATCH(A36,Rates!$A$6:$A$9,1),MATCH(B36,Rates!$B$5:$D$5,0)))</f>
        <v/>
      </c>
      <c r="G36" s="14">
        <f>IF(F36="","",E36*F36)</f>
        <v/>
      </c>
    </row>
    <row r="37">
      <c r="A37" s="10" t="n"/>
      <c r="B37" s="11" t="n"/>
      <c r="C37" s="11" t="n"/>
      <c r="D37" s="11" t="n"/>
      <c r="E37" s="12" t="n"/>
      <c r="F37" s="13">
        <f>IF(OR(A37="",B37=""),"",INDEX(Rates!$B$6:$D$9,MATCH(A37,Rates!$A$6:$A$9,1),MATCH(B37,Rates!$B$5:$D$5,0)))</f>
        <v/>
      </c>
      <c r="G37" s="14">
        <f>IF(F37="","",E37*F37)</f>
        <v/>
      </c>
    </row>
    <row r="38">
      <c r="A38" s="10" t="n"/>
      <c r="B38" s="11" t="n"/>
      <c r="C38" s="11" t="n"/>
      <c r="D38" s="11" t="n"/>
      <c r="E38" s="12" t="n"/>
      <c r="F38" s="13">
        <f>IF(OR(A38="",B38=""),"",INDEX(Rates!$B$6:$D$9,MATCH(A38,Rates!$A$6:$A$9,1),MATCH(B38,Rates!$B$5:$D$5,0)))</f>
        <v/>
      </c>
      <c r="G38" s="14">
        <f>IF(F38="","",E38*F38)</f>
        <v/>
      </c>
    </row>
    <row r="39">
      <c r="A39" s="10" t="n"/>
      <c r="B39" s="11" t="n"/>
      <c r="C39" s="11" t="n"/>
      <c r="D39" s="11" t="n"/>
      <c r="E39" s="12" t="n"/>
      <c r="F39" s="13">
        <f>IF(OR(A39="",B39=""),"",INDEX(Rates!$B$6:$D$9,MATCH(A39,Rates!$A$6:$A$9,1),MATCH(B39,Rates!$B$5:$D$5,0)))</f>
        <v/>
      </c>
      <c r="G39" s="14">
        <f>IF(F39="","",E39*F39)</f>
        <v/>
      </c>
    </row>
    <row r="40">
      <c r="A40" s="10" t="n"/>
      <c r="B40" s="11" t="n"/>
      <c r="C40" s="11" t="n"/>
      <c r="D40" s="11" t="n"/>
      <c r="E40" s="12" t="n"/>
      <c r="F40" s="13">
        <f>IF(OR(A40="",B40=""),"",INDEX(Rates!$B$6:$D$9,MATCH(A40,Rates!$A$6:$A$9,1),MATCH(B40,Rates!$B$5:$D$5,0)))</f>
        <v/>
      </c>
      <c r="G40" s="14">
        <f>IF(F40="","",E40*F40)</f>
        <v/>
      </c>
    </row>
    <row r="41">
      <c r="A41" s="10" t="n"/>
      <c r="B41" s="11" t="n"/>
      <c r="C41" s="11" t="n"/>
      <c r="D41" s="11" t="n"/>
      <c r="E41" s="12" t="n"/>
      <c r="F41" s="13">
        <f>IF(OR(A41="",B41=""),"",INDEX(Rates!$B$6:$D$9,MATCH(A41,Rates!$A$6:$A$9,1),MATCH(B41,Rates!$B$5:$D$5,0)))</f>
        <v/>
      </c>
      <c r="G41" s="14">
        <f>IF(F41="","",E41*F41)</f>
        <v/>
      </c>
    </row>
    <row r="42">
      <c r="A42" s="10" t="n"/>
      <c r="B42" s="11" t="n"/>
      <c r="C42" s="11" t="n"/>
      <c r="D42" s="11" t="n"/>
      <c r="E42" s="12" t="n"/>
      <c r="F42" s="13">
        <f>IF(OR(A42="",B42=""),"",INDEX(Rates!$B$6:$D$9,MATCH(A42,Rates!$A$6:$A$9,1),MATCH(B42,Rates!$B$5:$D$5,0)))</f>
        <v/>
      </c>
      <c r="G42" s="14">
        <f>IF(F42="","",E42*F42)</f>
        <v/>
      </c>
    </row>
    <row r="43">
      <c r="A43" s="10" t="n"/>
      <c r="B43" s="11" t="n"/>
      <c r="C43" s="11" t="n"/>
      <c r="D43" s="11" t="n"/>
      <c r="E43" s="12" t="n"/>
      <c r="F43" s="13">
        <f>IF(OR(A43="",B43=""),"",INDEX(Rates!$B$6:$D$9,MATCH(A43,Rates!$A$6:$A$9,1),MATCH(B43,Rates!$B$5:$D$5,0)))</f>
        <v/>
      </c>
      <c r="G43" s="14">
        <f>IF(F43="","",E43*F43)</f>
        <v/>
      </c>
    </row>
    <row r="44">
      <c r="A44" s="10" t="n"/>
      <c r="B44" s="11" t="n"/>
      <c r="C44" s="11" t="n"/>
      <c r="D44" s="11" t="n"/>
      <c r="E44" s="12" t="n"/>
      <c r="F44" s="13">
        <f>IF(OR(A44="",B44=""),"",INDEX(Rates!$B$6:$D$9,MATCH(A44,Rates!$A$6:$A$9,1),MATCH(B44,Rates!$B$5:$D$5,0)))</f>
        <v/>
      </c>
      <c r="G44" s="14">
        <f>IF(F44="","",E44*F44)</f>
        <v/>
      </c>
    </row>
    <row r="45">
      <c r="A45" s="10" t="n"/>
      <c r="B45" s="11" t="n"/>
      <c r="C45" s="11" t="n"/>
      <c r="D45" s="11" t="n"/>
      <c r="E45" s="12" t="n"/>
      <c r="F45" s="13">
        <f>IF(OR(A45="",B45=""),"",INDEX(Rates!$B$6:$D$9,MATCH(A45,Rates!$A$6:$A$9,1),MATCH(B45,Rates!$B$5:$D$5,0)))</f>
        <v/>
      </c>
      <c r="G45" s="14">
        <f>IF(F45="","",E45*F45)</f>
        <v/>
      </c>
    </row>
    <row r="46">
      <c r="A46" s="10" t="n"/>
      <c r="B46" s="11" t="n"/>
      <c r="C46" s="11" t="n"/>
      <c r="D46" s="11" t="n"/>
      <c r="E46" s="12" t="n"/>
      <c r="F46" s="13">
        <f>IF(OR(A46="",B46=""),"",INDEX(Rates!$B$6:$D$9,MATCH(A46,Rates!$A$6:$A$9,1),MATCH(B46,Rates!$B$5:$D$5,0)))</f>
        <v/>
      </c>
      <c r="G46" s="14">
        <f>IF(F46="","",E46*F46)</f>
        <v/>
      </c>
    </row>
    <row r="47">
      <c r="A47" s="10" t="n"/>
      <c r="B47" s="11" t="n"/>
      <c r="C47" s="11" t="n"/>
      <c r="D47" s="11" t="n"/>
      <c r="E47" s="12" t="n"/>
      <c r="F47" s="13">
        <f>IF(OR(A47="",B47=""),"",INDEX(Rates!$B$6:$D$9,MATCH(A47,Rates!$A$6:$A$9,1),MATCH(B47,Rates!$B$5:$D$5,0)))</f>
        <v/>
      </c>
      <c r="G47" s="14">
        <f>IF(F47="","",E47*F47)</f>
        <v/>
      </c>
    </row>
    <row r="48">
      <c r="A48" s="10" t="n"/>
      <c r="B48" s="11" t="n"/>
      <c r="C48" s="11" t="n"/>
      <c r="D48" s="11" t="n"/>
      <c r="E48" s="12" t="n"/>
      <c r="F48" s="13">
        <f>IF(OR(A48="",B48=""),"",INDEX(Rates!$B$6:$D$9,MATCH(A48,Rates!$A$6:$A$9,1),MATCH(B48,Rates!$B$5:$D$5,0)))</f>
        <v/>
      </c>
      <c r="G48" s="14">
        <f>IF(F48="","",E48*F48)</f>
        <v/>
      </c>
    </row>
    <row r="49">
      <c r="A49" s="10" t="n"/>
      <c r="B49" s="11" t="n"/>
      <c r="C49" s="11" t="n"/>
      <c r="D49" s="11" t="n"/>
      <c r="E49" s="12" t="n"/>
      <c r="F49" s="13">
        <f>IF(OR(A49="",B49=""),"",INDEX(Rates!$B$6:$D$9,MATCH(A49,Rates!$A$6:$A$9,1),MATCH(B49,Rates!$B$5:$D$5,0)))</f>
        <v/>
      </c>
      <c r="G49" s="14">
        <f>IF(F49="","",E49*F49)</f>
        <v/>
      </c>
    </row>
    <row r="50">
      <c r="A50" s="10" t="n"/>
      <c r="B50" s="11" t="n"/>
      <c r="C50" s="11" t="n"/>
      <c r="D50" s="11" t="n"/>
      <c r="E50" s="12" t="n"/>
      <c r="F50" s="13">
        <f>IF(OR(A50="",B50=""),"",INDEX(Rates!$B$6:$D$9,MATCH(A50,Rates!$A$6:$A$9,1),MATCH(B50,Rates!$B$5:$D$5,0)))</f>
        <v/>
      </c>
      <c r="G50" s="14">
        <f>IF(F50="","",E50*F50)</f>
        <v/>
      </c>
    </row>
    <row r="51">
      <c r="A51" s="10" t="n"/>
      <c r="B51" s="11" t="n"/>
      <c r="C51" s="11" t="n"/>
      <c r="D51" s="11" t="n"/>
      <c r="E51" s="12" t="n"/>
      <c r="F51" s="13">
        <f>IF(OR(A51="",B51=""),"",INDEX(Rates!$B$6:$D$9,MATCH(A51,Rates!$A$6:$A$9,1),MATCH(B51,Rates!$B$5:$D$5,0)))</f>
        <v/>
      </c>
      <c r="G51" s="14">
        <f>IF(F51="","",E51*F51)</f>
        <v/>
      </c>
    </row>
    <row r="52">
      <c r="A52" s="10" t="n"/>
      <c r="B52" s="11" t="n"/>
      <c r="C52" s="11" t="n"/>
      <c r="D52" s="11" t="n"/>
      <c r="E52" s="12" t="n"/>
      <c r="F52" s="13">
        <f>IF(OR(A52="",B52=""),"",INDEX(Rates!$B$6:$D$9,MATCH(A52,Rates!$A$6:$A$9,1),MATCH(B52,Rates!$B$5:$D$5,0)))</f>
        <v/>
      </c>
      <c r="G52" s="14">
        <f>IF(F52="","",E52*F52)</f>
        <v/>
      </c>
    </row>
    <row r="53">
      <c r="A53" s="10" t="n"/>
      <c r="B53" s="11" t="n"/>
      <c r="C53" s="11" t="n"/>
      <c r="D53" s="11" t="n"/>
      <c r="E53" s="12" t="n"/>
      <c r="F53" s="13">
        <f>IF(OR(A53="",B53=""),"",INDEX(Rates!$B$6:$D$9,MATCH(A53,Rates!$A$6:$A$9,1),MATCH(B53,Rates!$B$5:$D$5,0)))</f>
        <v/>
      </c>
      <c r="G53" s="14">
        <f>IF(F53="","",E53*F53)</f>
        <v/>
      </c>
    </row>
    <row r="54">
      <c r="A54" s="10" t="n"/>
      <c r="B54" s="11" t="n"/>
      <c r="C54" s="11" t="n"/>
      <c r="D54" s="11" t="n"/>
      <c r="E54" s="12" t="n"/>
      <c r="F54" s="13">
        <f>IF(OR(A54="",B54=""),"",INDEX(Rates!$B$6:$D$9,MATCH(A54,Rates!$A$6:$A$9,1),MATCH(B54,Rates!$B$5:$D$5,0)))</f>
        <v/>
      </c>
      <c r="G54" s="14">
        <f>IF(F54="","",E54*F54)</f>
        <v/>
      </c>
    </row>
    <row r="55">
      <c r="A55" s="10" t="n"/>
      <c r="B55" s="11" t="n"/>
      <c r="C55" s="11" t="n"/>
      <c r="D55" s="11" t="n"/>
      <c r="E55" s="12" t="n"/>
      <c r="F55" s="13">
        <f>IF(OR(A55="",B55=""),"",INDEX(Rates!$B$6:$D$9,MATCH(A55,Rates!$A$6:$A$9,1),MATCH(B55,Rates!$B$5:$D$5,0)))</f>
        <v/>
      </c>
      <c r="G55" s="14">
        <f>IF(F55="","",E55*F55)</f>
        <v/>
      </c>
    </row>
    <row r="56">
      <c r="A56" s="10" t="n"/>
      <c r="B56" s="11" t="n"/>
      <c r="C56" s="11" t="n"/>
      <c r="D56" s="11" t="n"/>
      <c r="E56" s="12" t="n"/>
      <c r="F56" s="13">
        <f>IF(OR(A56="",B56=""),"",INDEX(Rates!$B$6:$D$9,MATCH(A56,Rates!$A$6:$A$9,1),MATCH(B56,Rates!$B$5:$D$5,0)))</f>
        <v/>
      </c>
      <c r="G56" s="14">
        <f>IF(F56="","",E56*F56)</f>
        <v/>
      </c>
    </row>
    <row r="57">
      <c r="A57" s="10" t="n"/>
      <c r="B57" s="11" t="n"/>
      <c r="C57" s="11" t="n"/>
      <c r="D57" s="11" t="n"/>
      <c r="E57" s="12" t="n"/>
      <c r="F57" s="13">
        <f>IF(OR(A57="",B57=""),"",INDEX(Rates!$B$6:$D$9,MATCH(A57,Rates!$A$6:$A$9,1),MATCH(B57,Rates!$B$5:$D$5,0)))</f>
        <v/>
      </c>
      <c r="G57" s="14">
        <f>IF(F57="","",E57*F57)</f>
        <v/>
      </c>
    </row>
    <row r="58">
      <c r="A58" s="10" t="n"/>
      <c r="B58" s="11" t="n"/>
      <c r="C58" s="11" t="n"/>
      <c r="D58" s="11" t="n"/>
      <c r="E58" s="12" t="n"/>
      <c r="F58" s="13">
        <f>IF(OR(A58="",B58=""),"",INDEX(Rates!$B$6:$D$9,MATCH(A58,Rates!$A$6:$A$9,1),MATCH(B58,Rates!$B$5:$D$5,0)))</f>
        <v/>
      </c>
      <c r="G58" s="14">
        <f>IF(F58="","",E58*F58)</f>
        <v/>
      </c>
    </row>
    <row r="59">
      <c r="A59" s="10" t="n"/>
      <c r="B59" s="11" t="n"/>
      <c r="C59" s="11" t="n"/>
      <c r="D59" s="11" t="n"/>
      <c r="E59" s="12" t="n"/>
      <c r="F59" s="13">
        <f>IF(OR(A59="",B59=""),"",INDEX(Rates!$B$6:$D$9,MATCH(A59,Rates!$A$6:$A$9,1),MATCH(B59,Rates!$B$5:$D$5,0)))</f>
        <v/>
      </c>
      <c r="G59" s="14">
        <f>IF(F59="","",E59*F59)</f>
        <v/>
      </c>
    </row>
    <row r="60">
      <c r="A60" s="10" t="n"/>
      <c r="B60" s="11" t="n"/>
      <c r="C60" s="11" t="n"/>
      <c r="D60" s="11" t="n"/>
      <c r="E60" s="12" t="n"/>
      <c r="F60" s="13">
        <f>IF(OR(A60="",B60=""),"",INDEX(Rates!$B$6:$D$9,MATCH(A60,Rates!$A$6:$A$9,1),MATCH(B60,Rates!$B$5:$D$5,0)))</f>
        <v/>
      </c>
      <c r="G60" s="14">
        <f>IF(F60="","",E60*F60)</f>
        <v/>
      </c>
    </row>
    <row r="61">
      <c r="A61" s="10" t="n"/>
      <c r="B61" s="11" t="n"/>
      <c r="C61" s="11" t="n"/>
      <c r="D61" s="11" t="n"/>
      <c r="E61" s="12" t="n"/>
      <c r="F61" s="13">
        <f>IF(OR(A61="",B61=""),"",INDEX(Rates!$B$6:$D$9,MATCH(A61,Rates!$A$6:$A$9,1),MATCH(B61,Rates!$B$5:$D$5,0)))</f>
        <v/>
      </c>
      <c r="G61" s="14">
        <f>IF(F61="","",E61*F61)</f>
        <v/>
      </c>
    </row>
    <row r="62">
      <c r="A62" s="10" t="n"/>
      <c r="B62" s="11" t="n"/>
      <c r="C62" s="11" t="n"/>
      <c r="D62" s="11" t="n"/>
      <c r="E62" s="12" t="n"/>
      <c r="F62" s="13">
        <f>IF(OR(A62="",B62=""),"",INDEX(Rates!$B$6:$D$9,MATCH(A62,Rates!$A$6:$A$9,1),MATCH(B62,Rates!$B$5:$D$5,0)))</f>
        <v/>
      </c>
      <c r="G62" s="14">
        <f>IF(F62="","",E62*F62)</f>
        <v/>
      </c>
    </row>
    <row r="63">
      <c r="A63" s="10" t="n"/>
      <c r="B63" s="11" t="n"/>
      <c r="C63" s="11" t="n"/>
      <c r="D63" s="11" t="n"/>
      <c r="E63" s="12" t="n"/>
      <c r="F63" s="13">
        <f>IF(OR(A63="",B63=""),"",INDEX(Rates!$B$6:$D$9,MATCH(A63,Rates!$A$6:$A$9,1),MATCH(B63,Rates!$B$5:$D$5,0)))</f>
        <v/>
      </c>
      <c r="G63" s="14">
        <f>IF(F63="","",E63*F63)</f>
        <v/>
      </c>
    </row>
    <row r="64">
      <c r="A64" s="10" t="n"/>
      <c r="B64" s="11" t="n"/>
      <c r="C64" s="11" t="n"/>
      <c r="D64" s="11" t="n"/>
      <c r="E64" s="12" t="n"/>
      <c r="F64" s="13">
        <f>IF(OR(A64="",B64=""),"",INDEX(Rates!$B$6:$D$9,MATCH(A64,Rates!$A$6:$A$9,1),MATCH(B64,Rates!$B$5:$D$5,0)))</f>
        <v/>
      </c>
      <c r="G64" s="14">
        <f>IF(F64="","",E64*F64)</f>
        <v/>
      </c>
    </row>
    <row r="65">
      <c r="A65" s="10" t="n"/>
      <c r="B65" s="11" t="n"/>
      <c r="C65" s="11" t="n"/>
      <c r="D65" s="11" t="n"/>
      <c r="E65" s="12" t="n"/>
      <c r="F65" s="13">
        <f>IF(OR(A65="",B65=""),"",INDEX(Rates!$B$6:$D$9,MATCH(A65,Rates!$A$6:$A$9,1),MATCH(B65,Rates!$B$5:$D$5,0)))</f>
        <v/>
      </c>
      <c r="G65" s="14">
        <f>IF(F65="","",E65*F65)</f>
        <v/>
      </c>
    </row>
    <row r="66">
      <c r="A66" s="10" t="n"/>
      <c r="B66" s="11" t="n"/>
      <c r="C66" s="11" t="n"/>
      <c r="D66" s="11" t="n"/>
      <c r="E66" s="12" t="n"/>
      <c r="F66" s="13">
        <f>IF(OR(A66="",B66=""),"",INDEX(Rates!$B$6:$D$9,MATCH(A66,Rates!$A$6:$A$9,1),MATCH(B66,Rates!$B$5:$D$5,0)))</f>
        <v/>
      </c>
      <c r="G66" s="14">
        <f>IF(F66="","",E66*F66)</f>
        <v/>
      </c>
    </row>
    <row r="67">
      <c r="A67" s="10" t="n"/>
      <c r="B67" s="11" t="n"/>
      <c r="C67" s="11" t="n"/>
      <c r="D67" s="11" t="n"/>
      <c r="E67" s="12" t="n"/>
      <c r="F67" s="13">
        <f>IF(OR(A67="",B67=""),"",INDEX(Rates!$B$6:$D$9,MATCH(A67,Rates!$A$6:$A$9,1),MATCH(B67,Rates!$B$5:$D$5,0)))</f>
        <v/>
      </c>
      <c r="G67" s="14">
        <f>IF(F67="","",E67*F67)</f>
        <v/>
      </c>
    </row>
    <row r="68">
      <c r="A68" s="10" t="n"/>
      <c r="B68" s="11" t="n"/>
      <c r="C68" s="11" t="n"/>
      <c r="D68" s="11" t="n"/>
      <c r="E68" s="12" t="n"/>
      <c r="F68" s="13">
        <f>IF(OR(A68="",B68=""),"",INDEX(Rates!$B$6:$D$9,MATCH(A68,Rates!$A$6:$A$9,1),MATCH(B68,Rates!$B$5:$D$5,0)))</f>
        <v/>
      </c>
      <c r="G68" s="14">
        <f>IF(F68="","",E68*F68)</f>
        <v/>
      </c>
    </row>
    <row r="69">
      <c r="A69" s="10" t="n"/>
      <c r="B69" s="11" t="n"/>
      <c r="C69" s="11" t="n"/>
      <c r="D69" s="11" t="n"/>
      <c r="E69" s="12" t="n"/>
      <c r="F69" s="13">
        <f>IF(OR(A69="",B69=""),"",INDEX(Rates!$B$6:$D$9,MATCH(A69,Rates!$A$6:$A$9,1),MATCH(B69,Rates!$B$5:$D$5,0)))</f>
        <v/>
      </c>
      <c r="G69" s="14">
        <f>IF(F69="","",E69*F69)</f>
        <v/>
      </c>
    </row>
    <row r="70">
      <c r="A70" s="10" t="n"/>
      <c r="B70" s="11" t="n"/>
      <c r="C70" s="11" t="n"/>
      <c r="D70" s="11" t="n"/>
      <c r="E70" s="12" t="n"/>
      <c r="F70" s="13">
        <f>IF(OR(A70="",B70=""),"",INDEX(Rates!$B$6:$D$9,MATCH(A70,Rates!$A$6:$A$9,1),MATCH(B70,Rates!$B$5:$D$5,0)))</f>
        <v/>
      </c>
      <c r="G70" s="14">
        <f>IF(F70="","",E70*F70)</f>
        <v/>
      </c>
    </row>
    <row r="71">
      <c r="A71" s="10" t="n"/>
      <c r="B71" s="11" t="n"/>
      <c r="C71" s="11" t="n"/>
      <c r="D71" s="11" t="n"/>
      <c r="E71" s="12" t="n"/>
      <c r="F71" s="13">
        <f>IF(OR(A71="",B71=""),"",INDEX(Rates!$B$6:$D$9,MATCH(A71,Rates!$A$6:$A$9,1),MATCH(B71,Rates!$B$5:$D$5,0)))</f>
        <v/>
      </c>
      <c r="G71" s="14">
        <f>IF(F71="","",E71*F71)</f>
        <v/>
      </c>
    </row>
    <row r="72">
      <c r="A72" s="10" t="n"/>
      <c r="B72" s="11" t="n"/>
      <c r="C72" s="11" t="n"/>
      <c r="D72" s="11" t="n"/>
      <c r="E72" s="12" t="n"/>
      <c r="F72" s="13">
        <f>IF(OR(A72="",B72=""),"",INDEX(Rates!$B$6:$D$9,MATCH(A72,Rates!$A$6:$A$9,1),MATCH(B72,Rates!$B$5:$D$5,0)))</f>
        <v/>
      </c>
      <c r="G72" s="14">
        <f>IF(F72="","",E72*F72)</f>
        <v/>
      </c>
    </row>
    <row r="73">
      <c r="A73" s="10" t="n"/>
      <c r="B73" s="11" t="n"/>
      <c r="C73" s="11" t="n"/>
      <c r="D73" s="11" t="n"/>
      <c r="E73" s="12" t="n"/>
      <c r="F73" s="13">
        <f>IF(OR(A73="",B73=""),"",INDEX(Rates!$B$6:$D$9,MATCH(A73,Rates!$A$6:$A$9,1),MATCH(B73,Rates!$B$5:$D$5,0)))</f>
        <v/>
      </c>
      <c r="G73" s="14">
        <f>IF(F73="","",E73*F73)</f>
        <v/>
      </c>
    </row>
    <row r="74">
      <c r="A74" s="10" t="n"/>
      <c r="B74" s="11" t="n"/>
      <c r="C74" s="11" t="n"/>
      <c r="D74" s="11" t="n"/>
      <c r="E74" s="12" t="n"/>
      <c r="F74" s="13">
        <f>IF(OR(A74="",B74=""),"",INDEX(Rates!$B$6:$D$9,MATCH(A74,Rates!$A$6:$A$9,1),MATCH(B74,Rates!$B$5:$D$5,0)))</f>
        <v/>
      </c>
      <c r="G74" s="14">
        <f>IF(F74="","",E74*F74)</f>
        <v/>
      </c>
    </row>
    <row r="75">
      <c r="A75" s="10" t="n"/>
      <c r="B75" s="11" t="n"/>
      <c r="C75" s="11" t="n"/>
      <c r="D75" s="11" t="n"/>
      <c r="E75" s="12" t="n"/>
      <c r="F75" s="13">
        <f>IF(OR(A75="",B75=""),"",INDEX(Rates!$B$6:$D$9,MATCH(A75,Rates!$A$6:$A$9,1),MATCH(B75,Rates!$B$5:$D$5,0)))</f>
        <v/>
      </c>
      <c r="G75" s="14">
        <f>IF(F75="","",E75*F75)</f>
        <v/>
      </c>
    </row>
    <row r="76">
      <c r="A76" s="10" t="n"/>
      <c r="B76" s="11" t="n"/>
      <c r="C76" s="11" t="n"/>
      <c r="D76" s="11" t="n"/>
      <c r="E76" s="12" t="n"/>
      <c r="F76" s="13">
        <f>IF(OR(A76="",B76=""),"",INDEX(Rates!$B$6:$D$9,MATCH(A76,Rates!$A$6:$A$9,1),MATCH(B76,Rates!$B$5:$D$5,0)))</f>
        <v/>
      </c>
      <c r="G76" s="14">
        <f>IF(F76="","",E76*F76)</f>
        <v/>
      </c>
    </row>
    <row r="77">
      <c r="A77" s="10" t="n"/>
      <c r="B77" s="11" t="n"/>
      <c r="C77" s="11" t="n"/>
      <c r="D77" s="11" t="n"/>
      <c r="E77" s="12" t="n"/>
      <c r="F77" s="13">
        <f>IF(OR(A77="",B77=""),"",INDEX(Rates!$B$6:$D$9,MATCH(A77,Rates!$A$6:$A$9,1),MATCH(B77,Rates!$B$5:$D$5,0)))</f>
        <v/>
      </c>
      <c r="G77" s="14">
        <f>IF(F77="","",E77*F77)</f>
        <v/>
      </c>
    </row>
    <row r="78">
      <c r="A78" s="10" t="n"/>
      <c r="B78" s="11" t="n"/>
      <c r="C78" s="11" t="n"/>
      <c r="D78" s="11" t="n"/>
      <c r="E78" s="12" t="n"/>
      <c r="F78" s="13">
        <f>IF(OR(A78="",B78=""),"",INDEX(Rates!$B$6:$D$9,MATCH(A78,Rates!$A$6:$A$9,1),MATCH(B78,Rates!$B$5:$D$5,0)))</f>
        <v/>
      </c>
      <c r="G78" s="14">
        <f>IF(F78="","",E78*F78)</f>
        <v/>
      </c>
    </row>
    <row r="79">
      <c r="A79" s="10" t="n"/>
      <c r="B79" s="11" t="n"/>
      <c r="C79" s="11" t="n"/>
      <c r="D79" s="11" t="n"/>
      <c r="E79" s="12" t="n"/>
      <c r="F79" s="13">
        <f>IF(OR(A79="",B79=""),"",INDEX(Rates!$B$6:$D$9,MATCH(A79,Rates!$A$6:$A$9,1),MATCH(B79,Rates!$B$5:$D$5,0)))</f>
        <v/>
      </c>
      <c r="G79" s="14">
        <f>IF(F79="","",E79*F79)</f>
        <v/>
      </c>
    </row>
    <row r="80">
      <c r="A80" s="10" t="n"/>
      <c r="B80" s="11" t="n"/>
      <c r="C80" s="11" t="n"/>
      <c r="D80" s="11" t="n"/>
      <c r="E80" s="12" t="n"/>
      <c r="F80" s="13">
        <f>IF(OR(A80="",B80=""),"",INDEX(Rates!$B$6:$D$9,MATCH(A80,Rates!$A$6:$A$9,1),MATCH(B80,Rates!$B$5:$D$5,0)))</f>
        <v/>
      </c>
      <c r="G80" s="14">
        <f>IF(F80="","",E80*F80)</f>
        <v/>
      </c>
    </row>
    <row r="81">
      <c r="A81" s="10" t="n"/>
      <c r="B81" s="11" t="n"/>
      <c r="C81" s="11" t="n"/>
      <c r="D81" s="11" t="n"/>
      <c r="E81" s="12" t="n"/>
      <c r="F81" s="13">
        <f>IF(OR(A81="",B81=""),"",INDEX(Rates!$B$6:$D$9,MATCH(A81,Rates!$A$6:$A$9,1),MATCH(B81,Rates!$B$5:$D$5,0)))</f>
        <v/>
      </c>
      <c r="G81" s="14">
        <f>IF(F81="","",E81*F81)</f>
        <v/>
      </c>
    </row>
    <row r="82">
      <c r="A82" s="10" t="n"/>
      <c r="B82" s="11" t="n"/>
      <c r="C82" s="11" t="n"/>
      <c r="D82" s="11" t="n"/>
      <c r="E82" s="12" t="n"/>
      <c r="F82" s="13">
        <f>IF(OR(A82="",B82=""),"",INDEX(Rates!$B$6:$D$9,MATCH(A82,Rates!$A$6:$A$9,1),MATCH(B82,Rates!$B$5:$D$5,0)))</f>
        <v/>
      </c>
      <c r="G82" s="14">
        <f>IF(F82="","",E82*F82)</f>
        <v/>
      </c>
    </row>
    <row r="83">
      <c r="A83" s="10" t="n"/>
      <c r="B83" s="11" t="n"/>
      <c r="C83" s="11" t="n"/>
      <c r="D83" s="11" t="n"/>
      <c r="E83" s="12" t="n"/>
      <c r="F83" s="13">
        <f>IF(OR(A83="",B83=""),"",INDEX(Rates!$B$6:$D$9,MATCH(A83,Rates!$A$6:$A$9,1),MATCH(B83,Rates!$B$5:$D$5,0)))</f>
        <v/>
      </c>
      <c r="G83" s="14">
        <f>IF(F83="","",E83*F83)</f>
        <v/>
      </c>
    </row>
    <row r="84">
      <c r="A84" s="10" t="n"/>
      <c r="B84" s="11" t="n"/>
      <c r="C84" s="11" t="n"/>
      <c r="D84" s="11" t="n"/>
      <c r="E84" s="12" t="n"/>
      <c r="F84" s="13">
        <f>IF(OR(A84="",B84=""),"",INDEX(Rates!$B$6:$D$9,MATCH(A84,Rates!$A$6:$A$9,1),MATCH(B84,Rates!$B$5:$D$5,0)))</f>
        <v/>
      </c>
      <c r="G84" s="14">
        <f>IF(F84="","",E84*F84)</f>
        <v/>
      </c>
    </row>
    <row r="85">
      <c r="A85" s="10" t="n"/>
      <c r="B85" s="11" t="n"/>
      <c r="C85" s="11" t="n"/>
      <c r="D85" s="11" t="n"/>
      <c r="E85" s="12" t="n"/>
      <c r="F85" s="13">
        <f>IF(OR(A85="",B85=""),"",INDEX(Rates!$B$6:$D$9,MATCH(A85,Rates!$A$6:$A$9,1),MATCH(B85,Rates!$B$5:$D$5,0)))</f>
        <v/>
      </c>
      <c r="G85" s="14">
        <f>IF(F85="","",E85*F85)</f>
        <v/>
      </c>
    </row>
    <row r="86">
      <c r="A86" s="10" t="n"/>
      <c r="B86" s="11" t="n"/>
      <c r="C86" s="11" t="n"/>
      <c r="D86" s="11" t="n"/>
      <c r="E86" s="12" t="n"/>
      <c r="F86" s="13">
        <f>IF(OR(A86="",B86=""),"",INDEX(Rates!$B$6:$D$9,MATCH(A86,Rates!$A$6:$A$9,1),MATCH(B86,Rates!$B$5:$D$5,0)))</f>
        <v/>
      </c>
      <c r="G86" s="14">
        <f>IF(F86="","",E86*F86)</f>
        <v/>
      </c>
    </row>
    <row r="87">
      <c r="A87" s="10" t="n"/>
      <c r="B87" s="11" t="n"/>
      <c r="C87" s="11" t="n"/>
      <c r="D87" s="11" t="n"/>
      <c r="E87" s="12" t="n"/>
      <c r="F87" s="13">
        <f>IF(OR(A87="",B87=""),"",INDEX(Rates!$B$6:$D$9,MATCH(A87,Rates!$A$6:$A$9,1),MATCH(B87,Rates!$B$5:$D$5,0)))</f>
        <v/>
      </c>
      <c r="G87" s="14">
        <f>IF(F87="","",E87*F87)</f>
        <v/>
      </c>
    </row>
    <row r="88">
      <c r="A88" s="10" t="n"/>
      <c r="B88" s="11" t="n"/>
      <c r="C88" s="11" t="n"/>
      <c r="D88" s="11" t="n"/>
      <c r="E88" s="12" t="n"/>
      <c r="F88" s="13">
        <f>IF(OR(A88="",B88=""),"",INDEX(Rates!$B$6:$D$9,MATCH(A88,Rates!$A$6:$A$9,1),MATCH(B88,Rates!$B$5:$D$5,0)))</f>
        <v/>
      </c>
      <c r="G88" s="14">
        <f>IF(F88="","",E88*F88)</f>
        <v/>
      </c>
    </row>
    <row r="89">
      <c r="A89" s="10" t="n"/>
      <c r="B89" s="11" t="n"/>
      <c r="C89" s="11" t="n"/>
      <c r="D89" s="11" t="n"/>
      <c r="E89" s="12" t="n"/>
      <c r="F89" s="13">
        <f>IF(OR(A89="",B89=""),"",INDEX(Rates!$B$6:$D$9,MATCH(A89,Rates!$A$6:$A$9,1),MATCH(B89,Rates!$B$5:$D$5,0)))</f>
        <v/>
      </c>
      <c r="G89" s="14">
        <f>IF(F89="","",E89*F89)</f>
        <v/>
      </c>
    </row>
    <row r="90">
      <c r="A90" s="10" t="n"/>
      <c r="B90" s="11" t="n"/>
      <c r="C90" s="11" t="n"/>
      <c r="D90" s="11" t="n"/>
      <c r="E90" s="12" t="n"/>
      <c r="F90" s="13">
        <f>IF(OR(A90="",B90=""),"",INDEX(Rates!$B$6:$D$9,MATCH(A90,Rates!$A$6:$A$9,1),MATCH(B90,Rates!$B$5:$D$5,0)))</f>
        <v/>
      </c>
      <c r="G90" s="14">
        <f>IF(F90="","",E90*F90)</f>
        <v/>
      </c>
    </row>
    <row r="91">
      <c r="A91" s="10" t="n"/>
      <c r="B91" s="11" t="n"/>
      <c r="C91" s="11" t="n"/>
      <c r="D91" s="11" t="n"/>
      <c r="E91" s="12" t="n"/>
      <c r="F91" s="13">
        <f>IF(OR(A91="",B91=""),"",INDEX(Rates!$B$6:$D$9,MATCH(A91,Rates!$A$6:$A$9,1),MATCH(B91,Rates!$B$5:$D$5,0)))</f>
        <v/>
      </c>
      <c r="G91" s="14">
        <f>IF(F91="","",E91*F91)</f>
        <v/>
      </c>
    </row>
    <row r="92">
      <c r="A92" s="10" t="n"/>
      <c r="B92" s="11" t="n"/>
      <c r="C92" s="11" t="n"/>
      <c r="D92" s="11" t="n"/>
      <c r="E92" s="12" t="n"/>
      <c r="F92" s="13">
        <f>IF(OR(A92="",B92=""),"",INDEX(Rates!$B$6:$D$9,MATCH(A92,Rates!$A$6:$A$9,1),MATCH(B92,Rates!$B$5:$D$5,0)))</f>
        <v/>
      </c>
      <c r="G92" s="14">
        <f>IF(F92="","",E92*F92)</f>
        <v/>
      </c>
    </row>
    <row r="93">
      <c r="A93" s="10" t="n"/>
      <c r="B93" s="11" t="n"/>
      <c r="C93" s="11" t="n"/>
      <c r="D93" s="11" t="n"/>
      <c r="E93" s="12" t="n"/>
      <c r="F93" s="13">
        <f>IF(OR(A93="",B93=""),"",INDEX(Rates!$B$6:$D$9,MATCH(A93,Rates!$A$6:$A$9,1),MATCH(B93,Rates!$B$5:$D$5,0)))</f>
        <v/>
      </c>
      <c r="G93" s="14">
        <f>IF(F93="","",E93*F93)</f>
        <v/>
      </c>
    </row>
    <row r="94">
      <c r="A94" s="10" t="n"/>
      <c r="B94" s="11" t="n"/>
      <c r="C94" s="11" t="n"/>
      <c r="D94" s="11" t="n"/>
      <c r="E94" s="12" t="n"/>
      <c r="F94" s="13">
        <f>IF(OR(A94="",B94=""),"",INDEX(Rates!$B$6:$D$9,MATCH(A94,Rates!$A$6:$A$9,1),MATCH(B94,Rates!$B$5:$D$5,0)))</f>
        <v/>
      </c>
      <c r="G94" s="14">
        <f>IF(F94="","",E94*F94)</f>
        <v/>
      </c>
    </row>
    <row r="95">
      <c r="A95" s="10" t="n"/>
      <c r="B95" s="11" t="n"/>
      <c r="C95" s="11" t="n"/>
      <c r="D95" s="11" t="n"/>
      <c r="E95" s="12" t="n"/>
      <c r="F95" s="13">
        <f>IF(OR(A95="",B95=""),"",INDEX(Rates!$B$6:$D$9,MATCH(A95,Rates!$A$6:$A$9,1),MATCH(B95,Rates!$B$5:$D$5,0)))</f>
        <v/>
      </c>
      <c r="G95" s="14">
        <f>IF(F95="","",E95*F95)</f>
        <v/>
      </c>
    </row>
    <row r="96">
      <c r="A96" s="10" t="n"/>
      <c r="B96" s="11" t="n"/>
      <c r="C96" s="11" t="n"/>
      <c r="D96" s="11" t="n"/>
      <c r="E96" s="12" t="n"/>
      <c r="F96" s="13">
        <f>IF(OR(A96="",B96=""),"",INDEX(Rates!$B$6:$D$9,MATCH(A96,Rates!$A$6:$A$9,1),MATCH(B96,Rates!$B$5:$D$5,0)))</f>
        <v/>
      </c>
      <c r="G96" s="14">
        <f>IF(F96="","",E96*F96)</f>
        <v/>
      </c>
    </row>
    <row r="97">
      <c r="A97" s="10" t="n"/>
      <c r="B97" s="11" t="n"/>
      <c r="C97" s="11" t="n"/>
      <c r="D97" s="11" t="n"/>
      <c r="E97" s="12" t="n"/>
      <c r="F97" s="13">
        <f>IF(OR(A97="",B97=""),"",INDEX(Rates!$B$6:$D$9,MATCH(A97,Rates!$A$6:$A$9,1),MATCH(B97,Rates!$B$5:$D$5,0)))</f>
        <v/>
      </c>
      <c r="G97" s="14">
        <f>IF(F97="","",E97*F97)</f>
        <v/>
      </c>
    </row>
    <row r="98">
      <c r="A98" s="10" t="n"/>
      <c r="B98" s="11" t="n"/>
      <c r="C98" s="11" t="n"/>
      <c r="D98" s="11" t="n"/>
      <c r="E98" s="12" t="n"/>
      <c r="F98" s="13">
        <f>IF(OR(A98="",B98=""),"",INDEX(Rates!$B$6:$D$9,MATCH(A98,Rates!$A$6:$A$9,1),MATCH(B98,Rates!$B$5:$D$5,0)))</f>
        <v/>
      </c>
      <c r="G98" s="14">
        <f>IF(F98="","",E98*F98)</f>
        <v/>
      </c>
    </row>
    <row r="99">
      <c r="A99" s="10" t="n"/>
      <c r="B99" s="11" t="n"/>
      <c r="C99" s="11" t="n"/>
      <c r="D99" s="11" t="n"/>
      <c r="E99" s="12" t="n"/>
      <c r="F99" s="13">
        <f>IF(OR(A99="",B99=""),"",INDEX(Rates!$B$6:$D$9,MATCH(A99,Rates!$A$6:$A$9,1),MATCH(B99,Rates!$B$5:$D$5,0)))</f>
        <v/>
      </c>
      <c r="G99" s="14">
        <f>IF(F99="","",E99*F99)</f>
        <v/>
      </c>
    </row>
    <row r="100">
      <c r="A100" s="10" t="n"/>
      <c r="B100" s="11" t="n"/>
      <c r="C100" s="11" t="n"/>
      <c r="D100" s="11" t="n"/>
      <c r="E100" s="12" t="n"/>
      <c r="F100" s="13">
        <f>IF(OR(A100="",B100=""),"",INDEX(Rates!$B$6:$D$9,MATCH(A100,Rates!$A$6:$A$9,1),MATCH(B100,Rates!$B$5:$D$5,0)))</f>
        <v/>
      </c>
      <c r="G100" s="14">
        <f>IF(F100="","",E100*F100)</f>
        <v/>
      </c>
    </row>
    <row r="101">
      <c r="A101" s="10" t="n"/>
      <c r="B101" s="11" t="n"/>
      <c r="C101" s="11" t="n"/>
      <c r="D101" s="11" t="n"/>
      <c r="E101" s="12" t="n"/>
      <c r="F101" s="13">
        <f>IF(OR(A101="",B101=""),"",INDEX(Rates!$B$6:$D$9,MATCH(A101,Rates!$A$6:$A$9,1),MATCH(B101,Rates!$B$5:$D$5,0)))</f>
        <v/>
      </c>
      <c r="G101" s="14">
        <f>IF(F101="","",E101*F101)</f>
        <v/>
      </c>
    </row>
    <row r="102">
      <c r="A102" s="10" t="n"/>
      <c r="B102" s="11" t="n"/>
      <c r="C102" s="11" t="n"/>
      <c r="D102" s="11" t="n"/>
      <c r="E102" s="12" t="n"/>
      <c r="F102" s="13">
        <f>IF(OR(A102="",B102=""),"",INDEX(Rates!$B$6:$D$9,MATCH(A102,Rates!$A$6:$A$9,1),MATCH(B102,Rates!$B$5:$D$5,0)))</f>
        <v/>
      </c>
      <c r="G102" s="14">
        <f>IF(F102="","",E102*F102)</f>
        <v/>
      </c>
    </row>
    <row r="103">
      <c r="A103" s="10" t="n"/>
      <c r="B103" s="11" t="n"/>
      <c r="C103" s="11" t="n"/>
      <c r="D103" s="11" t="n"/>
      <c r="E103" s="12" t="n"/>
      <c r="F103" s="13">
        <f>IF(OR(A103="",B103=""),"",INDEX(Rates!$B$6:$D$9,MATCH(A103,Rates!$A$6:$A$9,1),MATCH(B103,Rates!$B$5:$D$5,0)))</f>
        <v/>
      </c>
      <c r="G103" s="14">
        <f>IF(F103="","",E103*F103)</f>
        <v/>
      </c>
    </row>
    <row r="104">
      <c r="A104" s="10" t="n"/>
      <c r="B104" s="11" t="n"/>
      <c r="C104" s="11" t="n"/>
      <c r="D104" s="11" t="n"/>
      <c r="E104" s="12" t="n"/>
      <c r="F104" s="13">
        <f>IF(OR(A104="",B104=""),"",INDEX(Rates!$B$6:$D$9,MATCH(A104,Rates!$A$6:$A$9,1),MATCH(B104,Rates!$B$5:$D$5,0)))</f>
        <v/>
      </c>
      <c r="G104" s="14">
        <f>IF(F104="","",E104*F104)</f>
        <v/>
      </c>
    </row>
    <row r="105">
      <c r="A105" s="10" t="n"/>
      <c r="B105" s="11" t="n"/>
      <c r="C105" s="11" t="n"/>
      <c r="D105" s="11" t="n"/>
      <c r="E105" s="12" t="n"/>
      <c r="F105" s="13">
        <f>IF(OR(A105="",B105=""),"",INDEX(Rates!$B$6:$D$9,MATCH(A105,Rates!$A$6:$A$9,1),MATCH(B105,Rates!$B$5:$D$5,0)))</f>
        <v/>
      </c>
      <c r="G105" s="14">
        <f>IF(F105="","",E105*F105)</f>
        <v/>
      </c>
    </row>
    <row r="106">
      <c r="A106" s="10" t="n"/>
      <c r="B106" s="11" t="n"/>
      <c r="C106" s="11" t="n"/>
      <c r="D106" s="11" t="n"/>
      <c r="E106" s="12" t="n"/>
      <c r="F106" s="13">
        <f>IF(OR(A106="",B106=""),"",INDEX(Rates!$B$6:$D$9,MATCH(A106,Rates!$A$6:$A$9,1),MATCH(B106,Rates!$B$5:$D$5,0)))</f>
        <v/>
      </c>
      <c r="G106" s="14">
        <f>IF(F106="","",E106*F106)</f>
        <v/>
      </c>
    </row>
    <row r="107">
      <c r="A107" s="10" t="n"/>
      <c r="B107" s="11" t="n"/>
      <c r="C107" s="11" t="n"/>
      <c r="D107" s="11" t="n"/>
      <c r="E107" s="12" t="n"/>
      <c r="F107" s="13">
        <f>IF(OR(A107="",B107=""),"",INDEX(Rates!$B$6:$D$9,MATCH(A107,Rates!$A$6:$A$9,1),MATCH(B107,Rates!$B$5:$D$5,0)))</f>
        <v/>
      </c>
      <c r="G107" s="14">
        <f>IF(F107="","",E107*F107)</f>
        <v/>
      </c>
    </row>
    <row r="108">
      <c r="A108" s="10" t="n"/>
      <c r="B108" s="11" t="n"/>
      <c r="C108" s="11" t="n"/>
      <c r="D108" s="11" t="n"/>
      <c r="E108" s="12" t="n"/>
      <c r="F108" s="13">
        <f>IF(OR(A108="",B108=""),"",INDEX(Rates!$B$6:$D$9,MATCH(A108,Rates!$A$6:$A$9,1),MATCH(B108,Rates!$B$5:$D$5,0)))</f>
        <v/>
      </c>
      <c r="G108" s="14">
        <f>IF(F108="","",E108*F108)</f>
        <v/>
      </c>
    </row>
    <row r="109">
      <c r="A109" s="10" t="n"/>
      <c r="B109" s="11" t="n"/>
      <c r="C109" s="11" t="n"/>
      <c r="D109" s="11" t="n"/>
      <c r="E109" s="12" t="n"/>
      <c r="F109" s="13">
        <f>IF(OR(A109="",B109=""),"",INDEX(Rates!$B$6:$D$9,MATCH(A109,Rates!$A$6:$A$9,1),MATCH(B109,Rates!$B$5:$D$5,0)))</f>
        <v/>
      </c>
      <c r="G109" s="14">
        <f>IF(F109="","",E109*F109)</f>
        <v/>
      </c>
    </row>
    <row r="110">
      <c r="A110" s="10" t="n"/>
      <c r="B110" s="11" t="n"/>
      <c r="C110" s="11" t="n"/>
      <c r="D110" s="11" t="n"/>
      <c r="E110" s="12" t="n"/>
      <c r="F110" s="13">
        <f>IF(OR(A110="",B110=""),"",INDEX(Rates!$B$6:$D$9,MATCH(A110,Rates!$A$6:$A$9,1),MATCH(B110,Rates!$B$5:$D$5,0)))</f>
        <v/>
      </c>
      <c r="G110" s="14">
        <f>IF(F110="","",E110*F110)</f>
        <v/>
      </c>
    </row>
    <row r="111">
      <c r="A111" s="10" t="n"/>
      <c r="B111" s="11" t="n"/>
      <c r="C111" s="11" t="n"/>
      <c r="D111" s="11" t="n"/>
      <c r="E111" s="12" t="n"/>
      <c r="F111" s="13">
        <f>IF(OR(A111="",B111=""),"",INDEX(Rates!$B$6:$D$9,MATCH(A111,Rates!$A$6:$A$9,1),MATCH(B111,Rates!$B$5:$D$5,0)))</f>
        <v/>
      </c>
      <c r="G111" s="14">
        <f>IF(F111="","",E111*F111)</f>
        <v/>
      </c>
    </row>
    <row r="112">
      <c r="A112" s="10" t="n"/>
      <c r="B112" s="11" t="n"/>
      <c r="C112" s="11" t="n"/>
      <c r="D112" s="11" t="n"/>
      <c r="E112" s="12" t="n"/>
      <c r="F112" s="13">
        <f>IF(OR(A112="",B112=""),"",INDEX(Rates!$B$6:$D$9,MATCH(A112,Rates!$A$6:$A$9,1),MATCH(B112,Rates!$B$5:$D$5,0)))</f>
        <v/>
      </c>
      <c r="G112" s="14">
        <f>IF(F112="","",E112*F112)</f>
        <v/>
      </c>
    </row>
    <row r="113">
      <c r="A113" s="10" t="n"/>
      <c r="B113" s="11" t="n"/>
      <c r="C113" s="11" t="n"/>
      <c r="D113" s="11" t="n"/>
      <c r="E113" s="12" t="n"/>
      <c r="F113" s="13">
        <f>IF(OR(A113="",B113=""),"",INDEX(Rates!$B$6:$D$9,MATCH(A113,Rates!$A$6:$A$9,1),MATCH(B113,Rates!$B$5:$D$5,0)))</f>
        <v/>
      </c>
      <c r="G113" s="14">
        <f>IF(F113="","",E113*F113)</f>
        <v/>
      </c>
    </row>
    <row r="114">
      <c r="A114" s="10" t="n"/>
      <c r="B114" s="11" t="n"/>
      <c r="C114" s="11" t="n"/>
      <c r="D114" s="11" t="n"/>
      <c r="E114" s="12" t="n"/>
      <c r="F114" s="13">
        <f>IF(OR(A114="",B114=""),"",INDEX(Rates!$B$6:$D$9,MATCH(A114,Rates!$A$6:$A$9,1),MATCH(B114,Rates!$B$5:$D$5,0)))</f>
        <v/>
      </c>
      <c r="G114" s="14">
        <f>IF(F114="","",E114*F114)</f>
        <v/>
      </c>
    </row>
    <row r="115">
      <c r="A115" s="10" t="n"/>
      <c r="B115" s="11" t="n"/>
      <c r="C115" s="11" t="n"/>
      <c r="D115" s="11" t="n"/>
      <c r="E115" s="12" t="n"/>
      <c r="F115" s="13">
        <f>IF(OR(A115="",B115=""),"",INDEX(Rates!$B$6:$D$9,MATCH(A115,Rates!$A$6:$A$9,1),MATCH(B115,Rates!$B$5:$D$5,0)))</f>
        <v/>
      </c>
      <c r="G115" s="14">
        <f>IF(F115="","",E115*F115)</f>
        <v/>
      </c>
    </row>
    <row r="116">
      <c r="A116" s="10" t="n"/>
      <c r="B116" s="11" t="n"/>
      <c r="C116" s="11" t="n"/>
      <c r="D116" s="11" t="n"/>
      <c r="E116" s="12" t="n"/>
      <c r="F116" s="13">
        <f>IF(OR(A116="",B116=""),"",INDEX(Rates!$B$6:$D$9,MATCH(A116,Rates!$A$6:$A$9,1),MATCH(B116,Rates!$B$5:$D$5,0)))</f>
        <v/>
      </c>
      <c r="G116" s="14">
        <f>IF(F116="","",E116*F116)</f>
        <v/>
      </c>
    </row>
    <row r="117">
      <c r="A117" s="10" t="n"/>
      <c r="B117" s="11" t="n"/>
      <c r="C117" s="11" t="n"/>
      <c r="D117" s="11" t="n"/>
      <c r="E117" s="12" t="n"/>
      <c r="F117" s="13">
        <f>IF(OR(A117="",B117=""),"",INDEX(Rates!$B$6:$D$9,MATCH(A117,Rates!$A$6:$A$9,1),MATCH(B117,Rates!$B$5:$D$5,0)))</f>
        <v/>
      </c>
      <c r="G117" s="14">
        <f>IF(F117="","",E117*F117)</f>
        <v/>
      </c>
    </row>
    <row r="118">
      <c r="A118" s="10" t="n"/>
      <c r="B118" s="11" t="n"/>
      <c r="C118" s="11" t="n"/>
      <c r="D118" s="11" t="n"/>
      <c r="E118" s="12" t="n"/>
      <c r="F118" s="13">
        <f>IF(OR(A118="",B118=""),"",INDEX(Rates!$B$6:$D$9,MATCH(A118,Rates!$A$6:$A$9,1),MATCH(B118,Rates!$B$5:$D$5,0)))</f>
        <v/>
      </c>
      <c r="G118" s="14">
        <f>IF(F118="","",E118*F118)</f>
        <v/>
      </c>
    </row>
    <row r="119">
      <c r="A119" s="10" t="n"/>
      <c r="B119" s="11" t="n"/>
      <c r="C119" s="11" t="n"/>
      <c r="D119" s="11" t="n"/>
      <c r="E119" s="12" t="n"/>
      <c r="F119" s="13">
        <f>IF(OR(A119="",B119=""),"",INDEX(Rates!$B$6:$D$9,MATCH(A119,Rates!$A$6:$A$9,1),MATCH(B119,Rates!$B$5:$D$5,0)))</f>
        <v/>
      </c>
      <c r="G119" s="14">
        <f>IF(F119="","",E119*F119)</f>
        <v/>
      </c>
    </row>
    <row r="120">
      <c r="A120" s="10" t="n"/>
      <c r="B120" s="11" t="n"/>
      <c r="C120" s="11" t="n"/>
      <c r="D120" s="11" t="n"/>
      <c r="E120" s="12" t="n"/>
      <c r="F120" s="13">
        <f>IF(OR(A120="",B120=""),"",INDEX(Rates!$B$6:$D$9,MATCH(A120,Rates!$A$6:$A$9,1),MATCH(B120,Rates!$B$5:$D$5,0)))</f>
        <v/>
      </c>
      <c r="G120" s="14">
        <f>IF(F120="","",E120*F120)</f>
        <v/>
      </c>
    </row>
    <row r="121">
      <c r="A121" s="10" t="n"/>
      <c r="B121" s="11" t="n"/>
      <c r="C121" s="11" t="n"/>
      <c r="D121" s="11" t="n"/>
      <c r="E121" s="12" t="n"/>
      <c r="F121" s="13">
        <f>IF(OR(A121="",B121=""),"",INDEX(Rates!$B$6:$D$9,MATCH(A121,Rates!$A$6:$A$9,1),MATCH(B121,Rates!$B$5:$D$5,0)))</f>
        <v/>
      </c>
      <c r="G121" s="14">
        <f>IF(F121="","",E121*F121)</f>
        <v/>
      </c>
    </row>
    <row r="122">
      <c r="A122" s="10" t="n"/>
      <c r="B122" s="11" t="n"/>
      <c r="C122" s="11" t="n"/>
      <c r="D122" s="11" t="n"/>
      <c r="E122" s="12" t="n"/>
      <c r="F122" s="13">
        <f>IF(OR(A122="",B122=""),"",INDEX(Rates!$B$6:$D$9,MATCH(A122,Rates!$A$6:$A$9,1),MATCH(B122,Rates!$B$5:$D$5,0)))</f>
        <v/>
      </c>
      <c r="G122" s="14">
        <f>IF(F122="","",E122*F122)</f>
        <v/>
      </c>
    </row>
    <row r="123">
      <c r="A123" s="10" t="n"/>
      <c r="B123" s="11" t="n"/>
      <c r="C123" s="11" t="n"/>
      <c r="D123" s="11" t="n"/>
      <c r="E123" s="12" t="n"/>
      <c r="F123" s="13">
        <f>IF(OR(A123="",B123=""),"",INDEX(Rates!$B$6:$D$9,MATCH(A123,Rates!$A$6:$A$9,1),MATCH(B123,Rates!$B$5:$D$5,0)))</f>
        <v/>
      </c>
      <c r="G123" s="14">
        <f>IF(F123="","",E123*F123)</f>
        <v/>
      </c>
    </row>
    <row r="124">
      <c r="A124" s="10" t="n"/>
      <c r="B124" s="11" t="n"/>
      <c r="C124" s="11" t="n"/>
      <c r="D124" s="11" t="n"/>
      <c r="E124" s="12" t="n"/>
      <c r="F124" s="13">
        <f>IF(OR(A124="",B124=""),"",INDEX(Rates!$B$6:$D$9,MATCH(A124,Rates!$A$6:$A$9,1),MATCH(B124,Rates!$B$5:$D$5,0)))</f>
        <v/>
      </c>
      <c r="G124" s="14">
        <f>IF(F124="","",E124*F124)</f>
        <v/>
      </c>
    </row>
    <row r="125">
      <c r="A125" s="10" t="n"/>
      <c r="B125" s="11" t="n"/>
      <c r="C125" s="11" t="n"/>
      <c r="D125" s="11" t="n"/>
      <c r="E125" s="12" t="n"/>
      <c r="F125" s="13">
        <f>IF(OR(A125="",B125=""),"",INDEX(Rates!$B$6:$D$9,MATCH(A125,Rates!$A$6:$A$9,1),MATCH(B125,Rates!$B$5:$D$5,0)))</f>
        <v/>
      </c>
      <c r="G125" s="14">
        <f>IF(F125="","",E125*F125)</f>
        <v/>
      </c>
    </row>
    <row r="126">
      <c r="A126" s="10" t="n"/>
      <c r="B126" s="11" t="n"/>
      <c r="C126" s="11" t="n"/>
      <c r="D126" s="11" t="n"/>
      <c r="E126" s="12" t="n"/>
      <c r="F126" s="13">
        <f>IF(OR(A126="",B126=""),"",INDEX(Rates!$B$6:$D$9,MATCH(A126,Rates!$A$6:$A$9,1),MATCH(B126,Rates!$B$5:$D$5,0)))</f>
        <v/>
      </c>
      <c r="G126" s="14">
        <f>IF(F126="","",E126*F126)</f>
        <v/>
      </c>
    </row>
    <row r="127">
      <c r="A127" s="10" t="n"/>
      <c r="B127" s="11" t="n"/>
      <c r="C127" s="11" t="n"/>
      <c r="D127" s="11" t="n"/>
      <c r="E127" s="12" t="n"/>
      <c r="F127" s="13">
        <f>IF(OR(A127="",B127=""),"",INDEX(Rates!$B$6:$D$9,MATCH(A127,Rates!$A$6:$A$9,1),MATCH(B127,Rates!$B$5:$D$5,0)))</f>
        <v/>
      </c>
      <c r="G127" s="14">
        <f>IF(F127="","",E127*F127)</f>
        <v/>
      </c>
    </row>
    <row r="128">
      <c r="A128" s="10" t="n"/>
      <c r="B128" s="11" t="n"/>
      <c r="C128" s="11" t="n"/>
      <c r="D128" s="11" t="n"/>
      <c r="E128" s="12" t="n"/>
      <c r="F128" s="13">
        <f>IF(OR(A128="",B128=""),"",INDEX(Rates!$B$6:$D$9,MATCH(A128,Rates!$A$6:$A$9,1),MATCH(B128,Rates!$B$5:$D$5,0)))</f>
        <v/>
      </c>
      <c r="G128" s="14">
        <f>IF(F128="","",E128*F128)</f>
        <v/>
      </c>
    </row>
    <row r="129">
      <c r="A129" s="10" t="n"/>
      <c r="B129" s="11" t="n"/>
      <c r="C129" s="11" t="n"/>
      <c r="D129" s="11" t="n"/>
      <c r="E129" s="12" t="n"/>
      <c r="F129" s="13">
        <f>IF(OR(A129="",B129=""),"",INDEX(Rates!$B$6:$D$9,MATCH(A129,Rates!$A$6:$A$9,1),MATCH(B129,Rates!$B$5:$D$5,0)))</f>
        <v/>
      </c>
      <c r="G129" s="14">
        <f>IF(F129="","",E129*F129)</f>
        <v/>
      </c>
    </row>
    <row r="130">
      <c r="A130" s="10" t="n"/>
      <c r="B130" s="11" t="n"/>
      <c r="C130" s="11" t="n"/>
      <c r="D130" s="11" t="n"/>
      <c r="E130" s="12" t="n"/>
      <c r="F130" s="13">
        <f>IF(OR(A130="",B130=""),"",INDEX(Rates!$B$6:$D$9,MATCH(A130,Rates!$A$6:$A$9,1),MATCH(B130,Rates!$B$5:$D$5,0)))</f>
        <v/>
      </c>
      <c r="G130" s="14">
        <f>IF(F130="","",E130*F130)</f>
        <v/>
      </c>
    </row>
    <row r="131">
      <c r="A131" s="10" t="n"/>
      <c r="B131" s="11" t="n"/>
      <c r="C131" s="11" t="n"/>
      <c r="D131" s="11" t="n"/>
      <c r="E131" s="12" t="n"/>
      <c r="F131" s="13">
        <f>IF(OR(A131="",B131=""),"",INDEX(Rates!$B$6:$D$9,MATCH(A131,Rates!$A$6:$A$9,1),MATCH(B131,Rates!$B$5:$D$5,0)))</f>
        <v/>
      </c>
      <c r="G131" s="14">
        <f>IF(F131="","",E131*F131)</f>
        <v/>
      </c>
    </row>
    <row r="132">
      <c r="A132" s="10" t="n"/>
      <c r="B132" s="11" t="n"/>
      <c r="C132" s="11" t="n"/>
      <c r="D132" s="11" t="n"/>
      <c r="E132" s="12" t="n"/>
      <c r="F132" s="13">
        <f>IF(OR(A132="",B132=""),"",INDEX(Rates!$B$6:$D$9,MATCH(A132,Rates!$A$6:$A$9,1),MATCH(B132,Rates!$B$5:$D$5,0)))</f>
        <v/>
      </c>
      <c r="G132" s="14">
        <f>IF(F132="","",E132*F132)</f>
        <v/>
      </c>
    </row>
    <row r="133">
      <c r="A133" s="10" t="n"/>
      <c r="B133" s="11" t="n"/>
      <c r="C133" s="11" t="n"/>
      <c r="D133" s="11" t="n"/>
      <c r="E133" s="12" t="n"/>
      <c r="F133" s="13">
        <f>IF(OR(A133="",B133=""),"",INDEX(Rates!$B$6:$D$9,MATCH(A133,Rates!$A$6:$A$9,1),MATCH(B133,Rates!$B$5:$D$5,0)))</f>
        <v/>
      </c>
      <c r="G133" s="14">
        <f>IF(F133="","",E133*F133)</f>
        <v/>
      </c>
    </row>
    <row r="134">
      <c r="A134" s="10" t="n"/>
      <c r="B134" s="11" t="n"/>
      <c r="C134" s="11" t="n"/>
      <c r="D134" s="11" t="n"/>
      <c r="E134" s="12" t="n"/>
      <c r="F134" s="13">
        <f>IF(OR(A134="",B134=""),"",INDEX(Rates!$B$6:$D$9,MATCH(A134,Rates!$A$6:$A$9,1),MATCH(B134,Rates!$B$5:$D$5,0)))</f>
        <v/>
      </c>
      <c r="G134" s="14">
        <f>IF(F134="","",E134*F134)</f>
        <v/>
      </c>
    </row>
    <row r="135">
      <c r="A135" s="10" t="n"/>
      <c r="B135" s="11" t="n"/>
      <c r="C135" s="11" t="n"/>
      <c r="D135" s="11" t="n"/>
      <c r="E135" s="12" t="n"/>
      <c r="F135" s="13">
        <f>IF(OR(A135="",B135=""),"",INDEX(Rates!$B$6:$D$9,MATCH(A135,Rates!$A$6:$A$9,1),MATCH(B135,Rates!$B$5:$D$5,0)))</f>
        <v/>
      </c>
      <c r="G135" s="14">
        <f>IF(F135="","",E135*F135)</f>
        <v/>
      </c>
    </row>
    <row r="136">
      <c r="A136" s="10" t="n"/>
      <c r="B136" s="11" t="n"/>
      <c r="C136" s="11" t="n"/>
      <c r="D136" s="11" t="n"/>
      <c r="E136" s="12" t="n"/>
      <c r="F136" s="13">
        <f>IF(OR(A136="",B136=""),"",INDEX(Rates!$B$6:$D$9,MATCH(A136,Rates!$A$6:$A$9,1),MATCH(B136,Rates!$B$5:$D$5,0)))</f>
        <v/>
      </c>
      <c r="G136" s="14">
        <f>IF(F136="","",E136*F136)</f>
        <v/>
      </c>
    </row>
    <row r="137">
      <c r="A137" s="10" t="n"/>
      <c r="B137" s="11" t="n"/>
      <c r="C137" s="11" t="n"/>
      <c r="D137" s="11" t="n"/>
      <c r="E137" s="12" t="n"/>
      <c r="F137" s="13">
        <f>IF(OR(A137="",B137=""),"",INDEX(Rates!$B$6:$D$9,MATCH(A137,Rates!$A$6:$A$9,1),MATCH(B137,Rates!$B$5:$D$5,0)))</f>
        <v/>
      </c>
      <c r="G137" s="14">
        <f>IF(F137="","",E137*F137)</f>
        <v/>
      </c>
    </row>
    <row r="138">
      <c r="A138" s="10" t="n"/>
      <c r="B138" s="11" t="n"/>
      <c r="C138" s="11" t="n"/>
      <c r="D138" s="11" t="n"/>
      <c r="E138" s="12" t="n"/>
      <c r="F138" s="13">
        <f>IF(OR(A138="",B138=""),"",INDEX(Rates!$B$6:$D$9,MATCH(A138,Rates!$A$6:$A$9,1),MATCH(B138,Rates!$B$5:$D$5,0)))</f>
        <v/>
      </c>
      <c r="G138" s="14">
        <f>IF(F138="","",E138*F138)</f>
        <v/>
      </c>
    </row>
    <row r="139">
      <c r="A139" s="10" t="n"/>
      <c r="B139" s="11" t="n"/>
      <c r="C139" s="11" t="n"/>
      <c r="D139" s="11" t="n"/>
      <c r="E139" s="12" t="n"/>
      <c r="F139" s="13">
        <f>IF(OR(A139="",B139=""),"",INDEX(Rates!$B$6:$D$9,MATCH(A139,Rates!$A$6:$A$9,1),MATCH(B139,Rates!$B$5:$D$5,0)))</f>
        <v/>
      </c>
      <c r="G139" s="14">
        <f>IF(F139="","",E139*F139)</f>
        <v/>
      </c>
    </row>
    <row r="140">
      <c r="A140" s="10" t="n"/>
      <c r="B140" s="11" t="n"/>
      <c r="C140" s="11" t="n"/>
      <c r="D140" s="11" t="n"/>
      <c r="E140" s="12" t="n"/>
      <c r="F140" s="13">
        <f>IF(OR(A140="",B140=""),"",INDEX(Rates!$B$6:$D$9,MATCH(A140,Rates!$A$6:$A$9,1),MATCH(B140,Rates!$B$5:$D$5,0)))</f>
        <v/>
      </c>
      <c r="G140" s="14">
        <f>IF(F140="","",E140*F140)</f>
        <v/>
      </c>
    </row>
    <row r="141">
      <c r="A141" s="10" t="n"/>
      <c r="B141" s="11" t="n"/>
      <c r="C141" s="11" t="n"/>
      <c r="D141" s="11" t="n"/>
      <c r="E141" s="12" t="n"/>
      <c r="F141" s="13">
        <f>IF(OR(A141="",B141=""),"",INDEX(Rates!$B$6:$D$9,MATCH(A141,Rates!$A$6:$A$9,1),MATCH(B141,Rates!$B$5:$D$5,0)))</f>
        <v/>
      </c>
      <c r="G141" s="14">
        <f>IF(F141="","",E141*F141)</f>
        <v/>
      </c>
    </row>
    <row r="142">
      <c r="A142" s="10" t="n"/>
      <c r="B142" s="11" t="n"/>
      <c r="C142" s="11" t="n"/>
      <c r="D142" s="11" t="n"/>
      <c r="E142" s="12" t="n"/>
      <c r="F142" s="13">
        <f>IF(OR(A142="",B142=""),"",INDEX(Rates!$B$6:$D$9,MATCH(A142,Rates!$A$6:$A$9,1),MATCH(B142,Rates!$B$5:$D$5,0)))</f>
        <v/>
      </c>
      <c r="G142" s="14">
        <f>IF(F142="","",E142*F142)</f>
        <v/>
      </c>
    </row>
    <row r="143">
      <c r="A143" s="10" t="n"/>
      <c r="B143" s="11" t="n"/>
      <c r="C143" s="11" t="n"/>
      <c r="D143" s="11" t="n"/>
      <c r="E143" s="12" t="n"/>
      <c r="F143" s="13">
        <f>IF(OR(A143="",B143=""),"",INDEX(Rates!$B$6:$D$9,MATCH(A143,Rates!$A$6:$A$9,1),MATCH(B143,Rates!$B$5:$D$5,0)))</f>
        <v/>
      </c>
      <c r="G143" s="14">
        <f>IF(F143="","",E143*F143)</f>
        <v/>
      </c>
    </row>
    <row r="144">
      <c r="A144" s="10" t="n"/>
      <c r="B144" s="11" t="n"/>
      <c r="C144" s="11" t="n"/>
      <c r="D144" s="11" t="n"/>
      <c r="E144" s="12" t="n"/>
      <c r="F144" s="13">
        <f>IF(OR(A144="",B144=""),"",INDEX(Rates!$B$6:$D$9,MATCH(A144,Rates!$A$6:$A$9,1),MATCH(B144,Rates!$B$5:$D$5,0)))</f>
        <v/>
      </c>
      <c r="G144" s="14">
        <f>IF(F144="","",E144*F144)</f>
        <v/>
      </c>
    </row>
    <row r="145">
      <c r="A145" s="10" t="n"/>
      <c r="B145" s="11" t="n"/>
      <c r="C145" s="11" t="n"/>
      <c r="D145" s="11" t="n"/>
      <c r="E145" s="12" t="n"/>
      <c r="F145" s="13">
        <f>IF(OR(A145="",B145=""),"",INDEX(Rates!$B$6:$D$9,MATCH(A145,Rates!$A$6:$A$9,1),MATCH(B145,Rates!$B$5:$D$5,0)))</f>
        <v/>
      </c>
      <c r="G145" s="14">
        <f>IF(F145="","",E145*F145)</f>
        <v/>
      </c>
    </row>
    <row r="146">
      <c r="A146" s="10" t="n"/>
      <c r="B146" s="11" t="n"/>
      <c r="C146" s="11" t="n"/>
      <c r="D146" s="11" t="n"/>
      <c r="E146" s="12" t="n"/>
      <c r="F146" s="13">
        <f>IF(OR(A146="",B146=""),"",INDEX(Rates!$B$6:$D$9,MATCH(A146,Rates!$A$6:$A$9,1),MATCH(B146,Rates!$B$5:$D$5,0)))</f>
        <v/>
      </c>
      <c r="G146" s="14">
        <f>IF(F146="","",E146*F146)</f>
        <v/>
      </c>
    </row>
    <row r="147">
      <c r="A147" s="10" t="n"/>
      <c r="B147" s="11" t="n"/>
      <c r="C147" s="11" t="n"/>
      <c r="D147" s="11" t="n"/>
      <c r="E147" s="12" t="n"/>
      <c r="F147" s="13">
        <f>IF(OR(A147="",B147=""),"",INDEX(Rates!$B$6:$D$9,MATCH(A147,Rates!$A$6:$A$9,1),MATCH(B147,Rates!$B$5:$D$5,0)))</f>
        <v/>
      </c>
      <c r="G147" s="14">
        <f>IF(F147="","",E147*F147)</f>
        <v/>
      </c>
    </row>
    <row r="148">
      <c r="A148" s="10" t="n"/>
      <c r="B148" s="11" t="n"/>
      <c r="C148" s="11" t="n"/>
      <c r="D148" s="11" t="n"/>
      <c r="E148" s="12" t="n"/>
      <c r="F148" s="13">
        <f>IF(OR(A148="",B148=""),"",INDEX(Rates!$B$6:$D$9,MATCH(A148,Rates!$A$6:$A$9,1),MATCH(B148,Rates!$B$5:$D$5,0)))</f>
        <v/>
      </c>
      <c r="G148" s="14">
        <f>IF(F148="","",E148*F148)</f>
        <v/>
      </c>
    </row>
    <row r="149">
      <c r="A149" s="10" t="n"/>
      <c r="B149" s="11" t="n"/>
      <c r="C149" s="11" t="n"/>
      <c r="D149" s="11" t="n"/>
      <c r="E149" s="12" t="n"/>
      <c r="F149" s="13">
        <f>IF(OR(A149="",B149=""),"",INDEX(Rates!$B$6:$D$9,MATCH(A149,Rates!$A$6:$A$9,1),MATCH(B149,Rates!$B$5:$D$5,0)))</f>
        <v/>
      </c>
      <c r="G149" s="14">
        <f>IF(F149="","",E149*F149)</f>
        <v/>
      </c>
    </row>
    <row r="150">
      <c r="A150" s="10" t="n"/>
      <c r="B150" s="11" t="n"/>
      <c r="C150" s="11" t="n"/>
      <c r="D150" s="11" t="n"/>
      <c r="E150" s="12" t="n"/>
      <c r="F150" s="13">
        <f>IF(OR(A150="",B150=""),"",INDEX(Rates!$B$6:$D$9,MATCH(A150,Rates!$A$6:$A$9,1),MATCH(B150,Rates!$B$5:$D$5,0)))</f>
        <v/>
      </c>
      <c r="G150" s="14">
        <f>IF(F150="","",E150*F150)</f>
        <v/>
      </c>
    </row>
    <row r="151">
      <c r="A151" s="10" t="n"/>
      <c r="B151" s="11" t="n"/>
      <c r="C151" s="11" t="n"/>
      <c r="D151" s="11" t="n"/>
      <c r="E151" s="12" t="n"/>
      <c r="F151" s="13">
        <f>IF(OR(A151="",B151=""),"",INDEX(Rates!$B$6:$D$9,MATCH(A151,Rates!$A$6:$A$9,1),MATCH(B151,Rates!$B$5:$D$5,0)))</f>
        <v/>
      </c>
      <c r="G151" s="14">
        <f>IF(F151="","",E151*F151)</f>
        <v/>
      </c>
    </row>
    <row r="152">
      <c r="A152" s="10" t="n"/>
      <c r="B152" s="11" t="n"/>
      <c r="C152" s="11" t="n"/>
      <c r="D152" s="11" t="n"/>
      <c r="E152" s="12" t="n"/>
      <c r="F152" s="13">
        <f>IF(OR(A152="",B152=""),"",INDEX(Rates!$B$6:$D$9,MATCH(A152,Rates!$A$6:$A$9,1),MATCH(B152,Rates!$B$5:$D$5,0)))</f>
        <v/>
      </c>
      <c r="G152" s="14">
        <f>IF(F152="","",E152*F152)</f>
        <v/>
      </c>
    </row>
    <row r="153">
      <c r="A153" s="10" t="n"/>
      <c r="B153" s="11" t="n"/>
      <c r="C153" s="11" t="n"/>
      <c r="D153" s="11" t="n"/>
      <c r="E153" s="12" t="n"/>
      <c r="F153" s="13">
        <f>IF(OR(A153="",B153=""),"",INDEX(Rates!$B$6:$D$9,MATCH(A153,Rates!$A$6:$A$9,1),MATCH(B153,Rates!$B$5:$D$5,0)))</f>
        <v/>
      </c>
      <c r="G153" s="14">
        <f>IF(F153="","",E153*F153)</f>
        <v/>
      </c>
    </row>
    <row r="154">
      <c r="A154" s="10" t="n"/>
      <c r="B154" s="11" t="n"/>
      <c r="C154" s="11" t="n"/>
      <c r="D154" s="11" t="n"/>
      <c r="E154" s="12" t="n"/>
      <c r="F154" s="13">
        <f>IF(OR(A154="",B154=""),"",INDEX(Rates!$B$6:$D$9,MATCH(A154,Rates!$A$6:$A$9,1),MATCH(B154,Rates!$B$5:$D$5,0)))</f>
        <v/>
      </c>
      <c r="G154" s="14">
        <f>IF(F154="","",E154*F154)</f>
        <v/>
      </c>
    </row>
    <row r="155">
      <c r="A155" s="10" t="n"/>
      <c r="B155" s="11" t="n"/>
      <c r="C155" s="11" t="n"/>
      <c r="D155" s="11" t="n"/>
      <c r="E155" s="12" t="n"/>
      <c r="F155" s="13">
        <f>IF(OR(A155="",B155=""),"",INDEX(Rates!$B$6:$D$9,MATCH(A155,Rates!$A$6:$A$9,1),MATCH(B155,Rates!$B$5:$D$5,0)))</f>
        <v/>
      </c>
      <c r="G155" s="14">
        <f>IF(F155="","",E155*F155)</f>
        <v/>
      </c>
    </row>
    <row r="156">
      <c r="A156" s="10" t="n"/>
      <c r="B156" s="11" t="n"/>
      <c r="C156" s="11" t="n"/>
      <c r="D156" s="11" t="n"/>
      <c r="E156" s="12" t="n"/>
      <c r="F156" s="13">
        <f>IF(OR(A156="",B156=""),"",INDEX(Rates!$B$6:$D$9,MATCH(A156,Rates!$A$6:$A$9,1),MATCH(B156,Rates!$B$5:$D$5,0)))</f>
        <v/>
      </c>
      <c r="G156" s="14">
        <f>IF(F156="","",E156*F156)</f>
        <v/>
      </c>
    </row>
    <row r="157">
      <c r="A157" s="10" t="n"/>
      <c r="B157" s="11" t="n"/>
      <c r="C157" s="11" t="n"/>
      <c r="D157" s="11" t="n"/>
      <c r="E157" s="12" t="n"/>
      <c r="F157" s="13">
        <f>IF(OR(A157="",B157=""),"",INDEX(Rates!$B$6:$D$9,MATCH(A157,Rates!$A$6:$A$9,1),MATCH(B157,Rates!$B$5:$D$5,0)))</f>
        <v/>
      </c>
      <c r="G157" s="14">
        <f>IF(F157="","",E157*F157)</f>
        <v/>
      </c>
    </row>
    <row r="158">
      <c r="A158" s="10" t="n"/>
      <c r="B158" s="11" t="n"/>
      <c r="C158" s="11" t="n"/>
      <c r="D158" s="11" t="n"/>
      <c r="E158" s="12" t="n"/>
      <c r="F158" s="13">
        <f>IF(OR(A158="",B158=""),"",INDEX(Rates!$B$6:$D$9,MATCH(A158,Rates!$A$6:$A$9,1),MATCH(B158,Rates!$B$5:$D$5,0)))</f>
        <v/>
      </c>
      <c r="G158" s="14">
        <f>IF(F158="","",E158*F158)</f>
        <v/>
      </c>
    </row>
    <row r="159">
      <c r="A159" s="10" t="n"/>
      <c r="B159" s="11" t="n"/>
      <c r="C159" s="11" t="n"/>
      <c r="D159" s="11" t="n"/>
      <c r="E159" s="12" t="n"/>
      <c r="F159" s="13">
        <f>IF(OR(A159="",B159=""),"",INDEX(Rates!$B$6:$D$9,MATCH(A159,Rates!$A$6:$A$9,1),MATCH(B159,Rates!$B$5:$D$5,0)))</f>
        <v/>
      </c>
      <c r="G159" s="14">
        <f>IF(F159="","",E159*F159)</f>
        <v/>
      </c>
    </row>
    <row r="160">
      <c r="A160" s="10" t="n"/>
      <c r="B160" s="11" t="n"/>
      <c r="C160" s="11" t="n"/>
      <c r="D160" s="11" t="n"/>
      <c r="E160" s="12" t="n"/>
      <c r="F160" s="13">
        <f>IF(OR(A160="",B160=""),"",INDEX(Rates!$B$6:$D$9,MATCH(A160,Rates!$A$6:$A$9,1),MATCH(B160,Rates!$B$5:$D$5,0)))</f>
        <v/>
      </c>
      <c r="G160" s="14">
        <f>IF(F160="","",E160*F160)</f>
        <v/>
      </c>
    </row>
    <row r="161">
      <c r="A161" s="10" t="n"/>
      <c r="B161" s="11" t="n"/>
      <c r="C161" s="11" t="n"/>
      <c r="D161" s="11" t="n"/>
      <c r="E161" s="12" t="n"/>
      <c r="F161" s="13">
        <f>IF(OR(A161="",B161=""),"",INDEX(Rates!$B$6:$D$9,MATCH(A161,Rates!$A$6:$A$9,1),MATCH(B161,Rates!$B$5:$D$5,0)))</f>
        <v/>
      </c>
      <c r="G161" s="14">
        <f>IF(F161="","",E161*F161)</f>
        <v/>
      </c>
    </row>
    <row r="162">
      <c r="A162" s="10" t="n"/>
      <c r="B162" s="11" t="n"/>
      <c r="C162" s="11" t="n"/>
      <c r="D162" s="11" t="n"/>
      <c r="E162" s="12" t="n"/>
      <c r="F162" s="13">
        <f>IF(OR(A162="",B162=""),"",INDEX(Rates!$B$6:$D$9,MATCH(A162,Rates!$A$6:$A$9,1),MATCH(B162,Rates!$B$5:$D$5,0)))</f>
        <v/>
      </c>
      <c r="G162" s="14">
        <f>IF(F162="","",E162*F162)</f>
        <v/>
      </c>
    </row>
    <row r="163">
      <c r="A163" s="10" t="n"/>
      <c r="B163" s="11" t="n"/>
      <c r="C163" s="11" t="n"/>
      <c r="D163" s="11" t="n"/>
      <c r="E163" s="12" t="n"/>
      <c r="F163" s="13">
        <f>IF(OR(A163="",B163=""),"",INDEX(Rates!$B$6:$D$9,MATCH(A163,Rates!$A$6:$A$9,1),MATCH(B163,Rates!$B$5:$D$5,0)))</f>
        <v/>
      </c>
      <c r="G163" s="14">
        <f>IF(F163="","",E163*F163)</f>
        <v/>
      </c>
    </row>
    <row r="164">
      <c r="A164" s="10" t="n"/>
      <c r="B164" s="11" t="n"/>
      <c r="C164" s="11" t="n"/>
      <c r="D164" s="11" t="n"/>
      <c r="E164" s="12" t="n"/>
      <c r="F164" s="13">
        <f>IF(OR(A164="",B164=""),"",INDEX(Rates!$B$6:$D$9,MATCH(A164,Rates!$A$6:$A$9,1),MATCH(B164,Rates!$B$5:$D$5,0)))</f>
        <v/>
      </c>
      <c r="G164" s="14">
        <f>IF(F164="","",E164*F164)</f>
        <v/>
      </c>
    </row>
    <row r="165">
      <c r="A165" s="10" t="n"/>
      <c r="B165" s="11" t="n"/>
      <c r="C165" s="11" t="n"/>
      <c r="D165" s="11" t="n"/>
      <c r="E165" s="12" t="n"/>
      <c r="F165" s="13">
        <f>IF(OR(A165="",B165=""),"",INDEX(Rates!$B$6:$D$9,MATCH(A165,Rates!$A$6:$A$9,1),MATCH(B165,Rates!$B$5:$D$5,0)))</f>
        <v/>
      </c>
      <c r="G165" s="14">
        <f>IF(F165="","",E165*F165)</f>
        <v/>
      </c>
    </row>
    <row r="166">
      <c r="A166" s="10" t="n"/>
      <c r="B166" s="11" t="n"/>
      <c r="C166" s="11" t="n"/>
      <c r="D166" s="11" t="n"/>
      <c r="E166" s="12" t="n"/>
      <c r="F166" s="13">
        <f>IF(OR(A166="",B166=""),"",INDEX(Rates!$B$6:$D$9,MATCH(A166,Rates!$A$6:$A$9,1),MATCH(B166,Rates!$B$5:$D$5,0)))</f>
        <v/>
      </c>
      <c r="G166" s="14">
        <f>IF(F166="","",E166*F166)</f>
        <v/>
      </c>
    </row>
    <row r="167">
      <c r="A167" s="10" t="n"/>
      <c r="B167" s="11" t="n"/>
      <c r="C167" s="11" t="n"/>
      <c r="D167" s="11" t="n"/>
      <c r="E167" s="12" t="n"/>
      <c r="F167" s="13">
        <f>IF(OR(A167="",B167=""),"",INDEX(Rates!$B$6:$D$9,MATCH(A167,Rates!$A$6:$A$9,1),MATCH(B167,Rates!$B$5:$D$5,0)))</f>
        <v/>
      </c>
      <c r="G167" s="14">
        <f>IF(F167="","",E167*F167)</f>
        <v/>
      </c>
    </row>
    <row r="168">
      <c r="A168" s="10" t="n"/>
      <c r="B168" s="11" t="n"/>
      <c r="C168" s="11" t="n"/>
      <c r="D168" s="11" t="n"/>
      <c r="E168" s="12" t="n"/>
      <c r="F168" s="13">
        <f>IF(OR(A168="",B168=""),"",INDEX(Rates!$B$6:$D$9,MATCH(A168,Rates!$A$6:$A$9,1),MATCH(B168,Rates!$B$5:$D$5,0)))</f>
        <v/>
      </c>
      <c r="G168" s="14">
        <f>IF(F168="","",E168*F168)</f>
        <v/>
      </c>
    </row>
    <row r="169">
      <c r="A169" s="10" t="n"/>
      <c r="B169" s="11" t="n"/>
      <c r="C169" s="11" t="n"/>
      <c r="D169" s="11" t="n"/>
      <c r="E169" s="12" t="n"/>
      <c r="F169" s="13">
        <f>IF(OR(A169="",B169=""),"",INDEX(Rates!$B$6:$D$9,MATCH(A169,Rates!$A$6:$A$9,1),MATCH(B169,Rates!$B$5:$D$5,0)))</f>
        <v/>
      </c>
      <c r="G169" s="14">
        <f>IF(F169="","",E169*F169)</f>
        <v/>
      </c>
    </row>
    <row r="170">
      <c r="A170" s="10" t="n"/>
      <c r="B170" s="11" t="n"/>
      <c r="C170" s="11" t="n"/>
      <c r="D170" s="11" t="n"/>
      <c r="E170" s="12" t="n"/>
      <c r="F170" s="13">
        <f>IF(OR(A170="",B170=""),"",INDEX(Rates!$B$6:$D$9,MATCH(A170,Rates!$A$6:$A$9,1),MATCH(B170,Rates!$B$5:$D$5,0)))</f>
        <v/>
      </c>
      <c r="G170" s="14">
        <f>IF(F170="","",E170*F170)</f>
        <v/>
      </c>
    </row>
    <row r="171">
      <c r="A171" s="10" t="n"/>
      <c r="B171" s="11" t="n"/>
      <c r="C171" s="11" t="n"/>
      <c r="D171" s="11" t="n"/>
      <c r="E171" s="12" t="n"/>
      <c r="F171" s="13">
        <f>IF(OR(A171="",B171=""),"",INDEX(Rates!$B$6:$D$9,MATCH(A171,Rates!$A$6:$A$9,1),MATCH(B171,Rates!$B$5:$D$5,0)))</f>
        <v/>
      </c>
      <c r="G171" s="14">
        <f>IF(F171="","",E171*F171)</f>
        <v/>
      </c>
    </row>
    <row r="172">
      <c r="A172" s="10" t="n"/>
      <c r="B172" s="11" t="n"/>
      <c r="C172" s="11" t="n"/>
      <c r="D172" s="11" t="n"/>
      <c r="E172" s="12" t="n"/>
      <c r="F172" s="13">
        <f>IF(OR(A172="",B172=""),"",INDEX(Rates!$B$6:$D$9,MATCH(A172,Rates!$A$6:$A$9,1),MATCH(B172,Rates!$B$5:$D$5,0)))</f>
        <v/>
      </c>
      <c r="G172" s="14">
        <f>IF(F172="","",E172*F172)</f>
        <v/>
      </c>
    </row>
    <row r="173">
      <c r="A173" s="10" t="n"/>
      <c r="B173" s="11" t="n"/>
      <c r="C173" s="11" t="n"/>
      <c r="D173" s="11" t="n"/>
      <c r="E173" s="12" t="n"/>
      <c r="F173" s="13">
        <f>IF(OR(A173="",B173=""),"",INDEX(Rates!$B$6:$D$9,MATCH(A173,Rates!$A$6:$A$9,1),MATCH(B173,Rates!$B$5:$D$5,0)))</f>
        <v/>
      </c>
      <c r="G173" s="14">
        <f>IF(F173="","",E173*F173)</f>
        <v/>
      </c>
    </row>
    <row r="174">
      <c r="A174" s="10" t="n"/>
      <c r="B174" s="11" t="n"/>
      <c r="C174" s="11" t="n"/>
      <c r="D174" s="11" t="n"/>
      <c r="E174" s="12" t="n"/>
      <c r="F174" s="13">
        <f>IF(OR(A174="",B174=""),"",INDEX(Rates!$B$6:$D$9,MATCH(A174,Rates!$A$6:$A$9,1),MATCH(B174,Rates!$B$5:$D$5,0)))</f>
        <v/>
      </c>
      <c r="G174" s="14">
        <f>IF(F174="","",E174*F174)</f>
        <v/>
      </c>
    </row>
    <row r="175">
      <c r="A175" s="10" t="n"/>
      <c r="B175" s="11" t="n"/>
      <c r="C175" s="11" t="n"/>
      <c r="D175" s="11" t="n"/>
      <c r="E175" s="12" t="n"/>
      <c r="F175" s="13">
        <f>IF(OR(A175="",B175=""),"",INDEX(Rates!$B$6:$D$9,MATCH(A175,Rates!$A$6:$A$9,1),MATCH(B175,Rates!$B$5:$D$5,0)))</f>
        <v/>
      </c>
      <c r="G175" s="14">
        <f>IF(F175="","",E175*F175)</f>
        <v/>
      </c>
    </row>
    <row r="176">
      <c r="A176" s="10" t="n"/>
      <c r="B176" s="11" t="n"/>
      <c r="C176" s="11" t="n"/>
      <c r="D176" s="11" t="n"/>
      <c r="E176" s="12" t="n"/>
      <c r="F176" s="13">
        <f>IF(OR(A176="",B176=""),"",INDEX(Rates!$B$6:$D$9,MATCH(A176,Rates!$A$6:$A$9,1),MATCH(B176,Rates!$B$5:$D$5,0)))</f>
        <v/>
      </c>
      <c r="G176" s="14">
        <f>IF(F176="","",E176*F176)</f>
        <v/>
      </c>
    </row>
    <row r="177">
      <c r="A177" s="10" t="n"/>
      <c r="B177" s="11" t="n"/>
      <c r="C177" s="11" t="n"/>
      <c r="D177" s="11" t="n"/>
      <c r="E177" s="12" t="n"/>
      <c r="F177" s="13">
        <f>IF(OR(A177="",B177=""),"",INDEX(Rates!$B$6:$D$9,MATCH(A177,Rates!$A$6:$A$9,1),MATCH(B177,Rates!$B$5:$D$5,0)))</f>
        <v/>
      </c>
      <c r="G177" s="14">
        <f>IF(F177="","",E177*F177)</f>
        <v/>
      </c>
    </row>
    <row r="178">
      <c r="A178" s="10" t="n"/>
      <c r="B178" s="11" t="n"/>
      <c r="C178" s="11" t="n"/>
      <c r="D178" s="11" t="n"/>
      <c r="E178" s="12" t="n"/>
      <c r="F178" s="13">
        <f>IF(OR(A178="",B178=""),"",INDEX(Rates!$B$6:$D$9,MATCH(A178,Rates!$A$6:$A$9,1),MATCH(B178,Rates!$B$5:$D$5,0)))</f>
        <v/>
      </c>
      <c r="G178" s="14">
        <f>IF(F178="","",E178*F178)</f>
        <v/>
      </c>
    </row>
    <row r="179">
      <c r="A179" s="10" t="n"/>
      <c r="B179" s="11" t="n"/>
      <c r="C179" s="11" t="n"/>
      <c r="D179" s="11" t="n"/>
      <c r="E179" s="12" t="n"/>
      <c r="F179" s="13">
        <f>IF(OR(A179="",B179=""),"",INDEX(Rates!$B$6:$D$9,MATCH(A179,Rates!$A$6:$A$9,1),MATCH(B179,Rates!$B$5:$D$5,0)))</f>
        <v/>
      </c>
      <c r="G179" s="14">
        <f>IF(F179="","",E179*F179)</f>
        <v/>
      </c>
    </row>
    <row r="180">
      <c r="A180" s="10" t="n"/>
      <c r="B180" s="11" t="n"/>
      <c r="C180" s="11" t="n"/>
      <c r="D180" s="11" t="n"/>
      <c r="E180" s="12" t="n"/>
      <c r="F180" s="13">
        <f>IF(OR(A180="",B180=""),"",INDEX(Rates!$B$6:$D$9,MATCH(A180,Rates!$A$6:$A$9,1),MATCH(B180,Rates!$B$5:$D$5,0)))</f>
        <v/>
      </c>
      <c r="G180" s="14">
        <f>IF(F180="","",E180*F180)</f>
        <v/>
      </c>
    </row>
    <row r="181">
      <c r="A181" s="10" t="n"/>
      <c r="B181" s="11" t="n"/>
      <c r="C181" s="11" t="n"/>
      <c r="D181" s="11" t="n"/>
      <c r="E181" s="12" t="n"/>
      <c r="F181" s="13">
        <f>IF(OR(A181="",B181=""),"",INDEX(Rates!$B$6:$D$9,MATCH(A181,Rates!$A$6:$A$9,1),MATCH(B181,Rates!$B$5:$D$5,0)))</f>
        <v/>
      </c>
      <c r="G181" s="14">
        <f>IF(F181="","",E181*F181)</f>
        <v/>
      </c>
    </row>
    <row r="182">
      <c r="A182" s="10" t="n"/>
      <c r="B182" s="11" t="n"/>
      <c r="C182" s="11" t="n"/>
      <c r="D182" s="11" t="n"/>
      <c r="E182" s="12" t="n"/>
      <c r="F182" s="13">
        <f>IF(OR(A182="",B182=""),"",INDEX(Rates!$B$6:$D$9,MATCH(A182,Rates!$A$6:$A$9,1),MATCH(B182,Rates!$B$5:$D$5,0)))</f>
        <v/>
      </c>
      <c r="G182" s="14">
        <f>IF(F182="","",E182*F182)</f>
        <v/>
      </c>
    </row>
    <row r="183">
      <c r="A183" s="10" t="n"/>
      <c r="B183" s="11" t="n"/>
      <c r="C183" s="11" t="n"/>
      <c r="D183" s="11" t="n"/>
      <c r="E183" s="12" t="n"/>
      <c r="F183" s="13">
        <f>IF(OR(A183="",B183=""),"",INDEX(Rates!$B$6:$D$9,MATCH(A183,Rates!$A$6:$A$9,1),MATCH(B183,Rates!$B$5:$D$5,0)))</f>
        <v/>
      </c>
      <c r="G183" s="14">
        <f>IF(F183="","",E183*F183)</f>
        <v/>
      </c>
    </row>
    <row r="184">
      <c r="A184" s="10" t="n"/>
      <c r="B184" s="11" t="n"/>
      <c r="C184" s="11" t="n"/>
      <c r="D184" s="11" t="n"/>
      <c r="E184" s="12" t="n"/>
      <c r="F184" s="13">
        <f>IF(OR(A184="",B184=""),"",INDEX(Rates!$B$6:$D$9,MATCH(A184,Rates!$A$6:$A$9,1),MATCH(B184,Rates!$B$5:$D$5,0)))</f>
        <v/>
      </c>
      <c r="G184" s="14">
        <f>IF(F184="","",E184*F184)</f>
        <v/>
      </c>
    </row>
    <row r="185">
      <c r="A185" s="10" t="n"/>
      <c r="B185" s="11" t="n"/>
      <c r="C185" s="11" t="n"/>
      <c r="D185" s="11" t="n"/>
      <c r="E185" s="12" t="n"/>
      <c r="F185" s="13">
        <f>IF(OR(A185="",B185=""),"",INDEX(Rates!$B$6:$D$9,MATCH(A185,Rates!$A$6:$A$9,1),MATCH(B185,Rates!$B$5:$D$5,0)))</f>
        <v/>
      </c>
      <c r="G185" s="14">
        <f>IF(F185="","",E185*F185)</f>
        <v/>
      </c>
    </row>
    <row r="186">
      <c r="A186" s="10" t="n"/>
      <c r="B186" s="11" t="n"/>
      <c r="C186" s="11" t="n"/>
      <c r="D186" s="11" t="n"/>
      <c r="E186" s="12" t="n"/>
      <c r="F186" s="13">
        <f>IF(OR(A186="",B186=""),"",INDEX(Rates!$B$6:$D$9,MATCH(A186,Rates!$A$6:$A$9,1),MATCH(B186,Rates!$B$5:$D$5,0)))</f>
        <v/>
      </c>
      <c r="G186" s="14">
        <f>IF(F186="","",E186*F186)</f>
        <v/>
      </c>
    </row>
    <row r="187">
      <c r="A187" s="10" t="n"/>
      <c r="B187" s="11" t="n"/>
      <c r="C187" s="11" t="n"/>
      <c r="D187" s="11" t="n"/>
      <c r="E187" s="12" t="n"/>
      <c r="F187" s="13">
        <f>IF(OR(A187="",B187=""),"",INDEX(Rates!$B$6:$D$9,MATCH(A187,Rates!$A$6:$A$9,1),MATCH(B187,Rates!$B$5:$D$5,0)))</f>
        <v/>
      </c>
      <c r="G187" s="14">
        <f>IF(F187="","",E187*F187)</f>
        <v/>
      </c>
    </row>
    <row r="188">
      <c r="A188" s="10" t="n"/>
      <c r="B188" s="11" t="n"/>
      <c r="C188" s="11" t="n"/>
      <c r="D188" s="11" t="n"/>
      <c r="E188" s="12" t="n"/>
      <c r="F188" s="13">
        <f>IF(OR(A188="",B188=""),"",INDEX(Rates!$B$6:$D$9,MATCH(A188,Rates!$A$6:$A$9,1),MATCH(B188,Rates!$B$5:$D$5,0)))</f>
        <v/>
      </c>
      <c r="G188" s="14">
        <f>IF(F188="","",E188*F188)</f>
        <v/>
      </c>
    </row>
    <row r="189">
      <c r="A189" s="10" t="n"/>
      <c r="B189" s="11" t="n"/>
      <c r="C189" s="11" t="n"/>
      <c r="D189" s="11" t="n"/>
      <c r="E189" s="12" t="n"/>
      <c r="F189" s="13">
        <f>IF(OR(A189="",B189=""),"",INDEX(Rates!$B$6:$D$9,MATCH(A189,Rates!$A$6:$A$9,1),MATCH(B189,Rates!$B$5:$D$5,0)))</f>
        <v/>
      </c>
      <c r="G189" s="14">
        <f>IF(F189="","",E189*F189)</f>
        <v/>
      </c>
    </row>
    <row r="190">
      <c r="A190" s="10" t="n"/>
      <c r="B190" s="11" t="n"/>
      <c r="C190" s="11" t="n"/>
      <c r="D190" s="11" t="n"/>
      <c r="E190" s="12" t="n"/>
      <c r="F190" s="13">
        <f>IF(OR(A190="",B190=""),"",INDEX(Rates!$B$6:$D$9,MATCH(A190,Rates!$A$6:$A$9,1),MATCH(B190,Rates!$B$5:$D$5,0)))</f>
        <v/>
      </c>
      <c r="G190" s="14">
        <f>IF(F190="","",E190*F190)</f>
        <v/>
      </c>
    </row>
    <row r="191">
      <c r="A191" s="10" t="n"/>
      <c r="B191" s="11" t="n"/>
      <c r="C191" s="11" t="n"/>
      <c r="D191" s="11" t="n"/>
      <c r="E191" s="12" t="n"/>
      <c r="F191" s="13">
        <f>IF(OR(A191="",B191=""),"",INDEX(Rates!$B$6:$D$9,MATCH(A191,Rates!$A$6:$A$9,1),MATCH(B191,Rates!$B$5:$D$5,0)))</f>
        <v/>
      </c>
      <c r="G191" s="14">
        <f>IF(F191="","",E191*F191)</f>
        <v/>
      </c>
    </row>
    <row r="192">
      <c r="A192" s="10" t="n"/>
      <c r="B192" s="11" t="n"/>
      <c r="C192" s="11" t="n"/>
      <c r="D192" s="11" t="n"/>
      <c r="E192" s="12" t="n"/>
      <c r="F192" s="13">
        <f>IF(OR(A192="",B192=""),"",INDEX(Rates!$B$6:$D$9,MATCH(A192,Rates!$A$6:$A$9,1),MATCH(B192,Rates!$B$5:$D$5,0)))</f>
        <v/>
      </c>
      <c r="G192" s="14">
        <f>IF(F192="","",E192*F192)</f>
        <v/>
      </c>
    </row>
    <row r="193">
      <c r="A193" s="10" t="n"/>
      <c r="B193" s="11" t="n"/>
      <c r="C193" s="11" t="n"/>
      <c r="D193" s="11" t="n"/>
      <c r="E193" s="12" t="n"/>
      <c r="F193" s="13">
        <f>IF(OR(A193="",B193=""),"",INDEX(Rates!$B$6:$D$9,MATCH(A193,Rates!$A$6:$A$9,1),MATCH(B193,Rates!$B$5:$D$5,0)))</f>
        <v/>
      </c>
      <c r="G193" s="14">
        <f>IF(F193="","",E193*F193)</f>
        <v/>
      </c>
    </row>
    <row r="194">
      <c r="A194" s="10" t="n"/>
      <c r="B194" s="11" t="n"/>
      <c r="C194" s="11" t="n"/>
      <c r="D194" s="11" t="n"/>
      <c r="E194" s="12" t="n"/>
      <c r="F194" s="13">
        <f>IF(OR(A194="",B194=""),"",INDEX(Rates!$B$6:$D$9,MATCH(A194,Rates!$A$6:$A$9,1),MATCH(B194,Rates!$B$5:$D$5,0)))</f>
        <v/>
      </c>
      <c r="G194" s="14">
        <f>IF(F194="","",E194*F194)</f>
        <v/>
      </c>
    </row>
    <row r="195">
      <c r="A195" s="10" t="n"/>
      <c r="B195" s="11" t="n"/>
      <c r="C195" s="11" t="n"/>
      <c r="D195" s="11" t="n"/>
      <c r="E195" s="12" t="n"/>
      <c r="F195" s="13">
        <f>IF(OR(A195="",B195=""),"",INDEX(Rates!$B$6:$D$9,MATCH(A195,Rates!$A$6:$A$9,1),MATCH(B195,Rates!$B$5:$D$5,0)))</f>
        <v/>
      </c>
      <c r="G195" s="14">
        <f>IF(F195="","",E195*F195)</f>
        <v/>
      </c>
    </row>
    <row r="196">
      <c r="A196" s="10" t="n"/>
      <c r="B196" s="11" t="n"/>
      <c r="C196" s="11" t="n"/>
      <c r="D196" s="11" t="n"/>
      <c r="E196" s="12" t="n"/>
      <c r="F196" s="13">
        <f>IF(OR(A196="",B196=""),"",INDEX(Rates!$B$6:$D$9,MATCH(A196,Rates!$A$6:$A$9,1),MATCH(B196,Rates!$B$5:$D$5,0)))</f>
        <v/>
      </c>
      <c r="G196" s="14">
        <f>IF(F196="","",E196*F196)</f>
        <v/>
      </c>
    </row>
    <row r="197">
      <c r="A197" s="10" t="n"/>
      <c r="B197" s="11" t="n"/>
      <c r="C197" s="11" t="n"/>
      <c r="D197" s="11" t="n"/>
      <c r="E197" s="12" t="n"/>
      <c r="F197" s="13">
        <f>IF(OR(A197="",B197=""),"",INDEX(Rates!$B$6:$D$9,MATCH(A197,Rates!$A$6:$A$9,1),MATCH(B197,Rates!$B$5:$D$5,0)))</f>
        <v/>
      </c>
      <c r="G197" s="14">
        <f>IF(F197="","",E197*F197)</f>
        <v/>
      </c>
    </row>
    <row r="198">
      <c r="A198" s="10" t="n"/>
      <c r="B198" s="11" t="n"/>
      <c r="C198" s="11" t="n"/>
      <c r="D198" s="11" t="n"/>
      <c r="E198" s="12" t="n"/>
      <c r="F198" s="13">
        <f>IF(OR(A198="",B198=""),"",INDEX(Rates!$B$6:$D$9,MATCH(A198,Rates!$A$6:$A$9,1),MATCH(B198,Rates!$B$5:$D$5,0)))</f>
        <v/>
      </c>
      <c r="G198" s="14">
        <f>IF(F198="","",E198*F198)</f>
        <v/>
      </c>
    </row>
    <row r="199">
      <c r="A199" s="10" t="n"/>
      <c r="B199" s="11" t="n"/>
      <c r="C199" s="11" t="n"/>
      <c r="D199" s="11" t="n"/>
      <c r="E199" s="12" t="n"/>
      <c r="F199" s="13">
        <f>IF(OR(A199="",B199=""),"",INDEX(Rates!$B$6:$D$9,MATCH(A199,Rates!$A$6:$A$9,1),MATCH(B199,Rates!$B$5:$D$5,0)))</f>
        <v/>
      </c>
      <c r="G199" s="14">
        <f>IF(F199="","",E199*F199)</f>
        <v/>
      </c>
    </row>
    <row r="200">
      <c r="A200" s="10" t="n"/>
      <c r="B200" s="11" t="n"/>
      <c r="C200" s="11" t="n"/>
      <c r="D200" s="11" t="n"/>
      <c r="E200" s="12" t="n"/>
      <c r="F200" s="13">
        <f>IF(OR(A200="",B200=""),"",INDEX(Rates!$B$6:$D$9,MATCH(A200,Rates!$A$6:$A$9,1),MATCH(B200,Rates!$B$5:$D$5,0)))</f>
        <v/>
      </c>
      <c r="G200" s="14">
        <f>IF(F200="","",E200*F200)</f>
        <v/>
      </c>
    </row>
    <row r="201">
      <c r="A201" s="10" t="n"/>
      <c r="B201" s="11" t="n"/>
      <c r="C201" s="11" t="n"/>
      <c r="D201" s="11" t="n"/>
      <c r="E201" s="12" t="n"/>
      <c r="F201" s="13">
        <f>IF(OR(A201="",B201=""),"",INDEX(Rates!$B$6:$D$9,MATCH(A201,Rates!$A$6:$A$9,1),MATCH(B201,Rates!$B$5:$D$5,0)))</f>
        <v/>
      </c>
      <c r="G201" s="14">
        <f>IF(F201="","",E201*F201)</f>
        <v/>
      </c>
    </row>
    <row r="202">
      <c r="A202" s="10" t="n"/>
      <c r="B202" s="11" t="n"/>
      <c r="C202" s="11" t="n"/>
      <c r="D202" s="11" t="n"/>
      <c r="E202" s="12" t="n"/>
      <c r="F202" s="13">
        <f>IF(OR(A202="",B202=""),"",INDEX(Rates!$B$6:$D$9,MATCH(A202,Rates!$A$6:$A$9,1),MATCH(B202,Rates!$B$5:$D$5,0)))</f>
        <v/>
      </c>
      <c r="G202" s="14">
        <f>IF(F202="","",E202*F202)</f>
        <v/>
      </c>
    </row>
    <row r="203">
      <c r="A203" s="10" t="n"/>
      <c r="B203" s="11" t="n"/>
      <c r="C203" s="11" t="n"/>
      <c r="D203" s="11" t="n"/>
      <c r="E203" s="12" t="n"/>
      <c r="F203" s="13">
        <f>IF(OR(A203="",B203=""),"",INDEX(Rates!$B$6:$D$9,MATCH(A203,Rates!$A$6:$A$9,1),MATCH(B203,Rates!$B$5:$D$5,0)))</f>
        <v/>
      </c>
      <c r="G203" s="14">
        <f>IF(F203="","",E203*F203)</f>
        <v/>
      </c>
    </row>
    <row r="204">
      <c r="A204" s="10" t="n"/>
      <c r="B204" s="11" t="n"/>
      <c r="C204" s="11" t="n"/>
      <c r="D204" s="11" t="n"/>
      <c r="E204" s="12" t="n"/>
      <c r="F204" s="13">
        <f>IF(OR(A204="",B204=""),"",INDEX(Rates!$B$6:$D$9,MATCH(A204,Rates!$A$6:$A$9,1),MATCH(B204,Rates!$B$5:$D$5,0)))</f>
        <v/>
      </c>
      <c r="G204" s="14">
        <f>IF(F204="","",E204*F204)</f>
        <v/>
      </c>
    </row>
    <row r="205">
      <c r="A205" s="10" t="n"/>
      <c r="B205" s="11" t="n"/>
      <c r="C205" s="11" t="n"/>
      <c r="D205" s="11" t="n"/>
      <c r="E205" s="12" t="n"/>
      <c r="F205" s="13">
        <f>IF(OR(A205="",B205=""),"",INDEX(Rates!$B$6:$D$9,MATCH(A205,Rates!$A$6:$A$9,1),MATCH(B205,Rates!$B$5:$D$5,0)))</f>
        <v/>
      </c>
      <c r="G205" s="14">
        <f>IF(F205="","",E205*F205)</f>
        <v/>
      </c>
    </row>
    <row r="207">
      <c r="D207" s="15" t="inlineStr">
        <is>
          <t>Totals</t>
        </is>
      </c>
      <c r="E207" s="16">
        <f>SUM(E6:E205)</f>
        <v/>
      </c>
      <c r="G207" s="17">
        <f>SUM(G6:G205)</f>
        <v/>
      </c>
    </row>
  </sheetData>
  <mergeCells count="3">
    <mergeCell ref="A3:G3"/>
    <mergeCell ref="A2:G2"/>
    <mergeCell ref="A1:G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showDropDown="0" showInputMessage="0" showErrorMessage="0" allowBlank="1" error="Choose Business, Charity, or Medical." type="list">
      <formula1>"Business,Charity,Medical"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207"/>
  <sheetViews>
    <sheetView workbookViewId="0">
      <pane ySplit="5" topLeftCell="A6" activePane="bottomLeft" state="frozen"/>
      <selection pane="bottomLeft" activeCell="A1" sqref="A1"/>
    </sheetView>
  </sheetViews>
  <sheetFormatPr baseColWidth="8" defaultRowHeight="15"/>
  <cols>
    <col width="13" customWidth="1" min="1" max="1"/>
    <col width="34" customWidth="1" min="2" max="2"/>
    <col width="22" customWidth="1" min="3" max="3"/>
    <col width="34" customWidth="1" min="4" max="4"/>
    <col width="12" customWidth="1" min="5" max="5"/>
    <col width="18" customWidth="1" min="6" max="6"/>
    <col width="8" customWidth="1" min="7" max="7"/>
    <col width="13" customWidth="1" min="8" max="8"/>
  </cols>
  <sheetData>
    <row r="1" ht="26" customHeight="1">
      <c r="A1" s="5" t="inlineStr">
        <is>
          <t>Expense log — 2026</t>
        </is>
      </c>
    </row>
    <row r="2">
      <c r="A2" s="6" t="inlineStr">
        <is>
          <t>One row per expense. Treatment and the deductible amount fill in from the category.</t>
        </is>
      </c>
    </row>
    <row r="3">
      <c r="A3" s="7" t="inlineStr">
        <is>
          <t>Grott Luker &amp; Co. · Client Decision Support Toolkit · platform by BlueLine Advisors</t>
        </is>
      </c>
    </row>
    <row r="4">
      <c r="A4" s="8" t="inlineStr">
        <is>
          <t>Yellow cells are yours to fill in. White cells calculate themselves — leave them alone.</t>
        </is>
      </c>
    </row>
    <row r="5" ht="30" customHeight="1">
      <c r="A5" s="9" t="inlineStr">
        <is>
          <t>Date</t>
        </is>
      </c>
      <c r="B5" s="9" t="inlineStr">
        <is>
          <t>Category</t>
        </is>
      </c>
      <c r="C5" s="9" t="inlineStr">
        <is>
          <t>Client / matter</t>
        </is>
      </c>
      <c r="D5" s="9" t="inlineStr">
        <is>
          <t>Description</t>
        </is>
      </c>
      <c r="E5" s="9" t="inlineStr">
        <is>
          <t>Amount</t>
        </is>
      </c>
      <c r="F5" s="9" t="inlineStr">
        <is>
          <t>Treatment</t>
        </is>
      </c>
      <c r="G5" s="9" t="inlineStr">
        <is>
          <t>Share</t>
        </is>
      </c>
      <c r="H5" s="9" t="inlineStr">
        <is>
          <t>Deductible</t>
        </is>
      </c>
    </row>
    <row r="6">
      <c r="A6" s="10" t="n"/>
      <c r="B6" s="11" t="n"/>
      <c r="C6" s="11" t="n"/>
      <c r="D6" s="11" t="n"/>
      <c r="E6" s="18" t="n"/>
      <c r="F6" s="19">
        <f>IF(B6="","",INDEX(Rates!$B$15:$B$42,MATCH(B6,Rates!$A$15:$A$42,0)))</f>
        <v/>
      </c>
      <c r="G6" s="20">
        <f>IF(B6="","",INDEX(Rates!$C$15:$C$42,MATCH(B6,Rates!$A$15:$A$42,0)))</f>
        <v/>
      </c>
      <c r="H6" s="14">
        <f>IF(OR(B6="",E6=""),"",E6*G6)</f>
        <v/>
      </c>
    </row>
    <row r="7">
      <c r="A7" s="10" t="n"/>
      <c r="B7" s="11" t="n"/>
      <c r="C7" s="11" t="n"/>
      <c r="D7" s="11" t="n"/>
      <c r="E7" s="18" t="n"/>
      <c r="F7" s="19">
        <f>IF(B7="","",INDEX(Rates!$B$15:$B$42,MATCH(B7,Rates!$A$15:$A$42,0)))</f>
        <v/>
      </c>
      <c r="G7" s="20">
        <f>IF(B7="","",INDEX(Rates!$C$15:$C$42,MATCH(B7,Rates!$A$15:$A$42,0)))</f>
        <v/>
      </c>
      <c r="H7" s="14">
        <f>IF(OR(B7="",E7=""),"",E7*G7)</f>
        <v/>
      </c>
    </row>
    <row r="8">
      <c r="A8" s="10" t="n"/>
      <c r="B8" s="11" t="n"/>
      <c r="C8" s="11" t="n"/>
      <c r="D8" s="11" t="n"/>
      <c r="E8" s="18" t="n"/>
      <c r="F8" s="19">
        <f>IF(B8="","",INDEX(Rates!$B$15:$B$42,MATCH(B8,Rates!$A$15:$A$42,0)))</f>
        <v/>
      </c>
      <c r="G8" s="20">
        <f>IF(B8="","",INDEX(Rates!$C$15:$C$42,MATCH(B8,Rates!$A$15:$A$42,0)))</f>
        <v/>
      </c>
      <c r="H8" s="14">
        <f>IF(OR(B8="",E8=""),"",E8*G8)</f>
        <v/>
      </c>
    </row>
    <row r="9">
      <c r="A9" s="10" t="n"/>
      <c r="B9" s="11" t="n"/>
      <c r="C9" s="11" t="n"/>
      <c r="D9" s="11" t="n"/>
      <c r="E9" s="18" t="n"/>
      <c r="F9" s="19">
        <f>IF(B9="","",INDEX(Rates!$B$15:$B$42,MATCH(B9,Rates!$A$15:$A$42,0)))</f>
        <v/>
      </c>
      <c r="G9" s="20">
        <f>IF(B9="","",INDEX(Rates!$C$15:$C$42,MATCH(B9,Rates!$A$15:$A$42,0)))</f>
        <v/>
      </c>
      <c r="H9" s="14">
        <f>IF(OR(B9="",E9=""),"",E9*G9)</f>
        <v/>
      </c>
    </row>
    <row r="10">
      <c r="A10" s="10" t="n"/>
      <c r="B10" s="11" t="n"/>
      <c r="C10" s="11" t="n"/>
      <c r="D10" s="11" t="n"/>
      <c r="E10" s="18" t="n"/>
      <c r="F10" s="19">
        <f>IF(B10="","",INDEX(Rates!$B$15:$B$42,MATCH(B10,Rates!$A$15:$A$42,0)))</f>
        <v/>
      </c>
      <c r="G10" s="20">
        <f>IF(B10="","",INDEX(Rates!$C$15:$C$42,MATCH(B10,Rates!$A$15:$A$42,0)))</f>
        <v/>
      </c>
      <c r="H10" s="14">
        <f>IF(OR(B10="",E10=""),"",E10*G10)</f>
        <v/>
      </c>
    </row>
    <row r="11">
      <c r="A11" s="10" t="n"/>
      <c r="B11" s="11" t="n"/>
      <c r="C11" s="11" t="n"/>
      <c r="D11" s="11" t="n"/>
      <c r="E11" s="18" t="n"/>
      <c r="F11" s="19">
        <f>IF(B11="","",INDEX(Rates!$B$15:$B$42,MATCH(B11,Rates!$A$15:$A$42,0)))</f>
        <v/>
      </c>
      <c r="G11" s="20">
        <f>IF(B11="","",INDEX(Rates!$C$15:$C$42,MATCH(B11,Rates!$A$15:$A$42,0)))</f>
        <v/>
      </c>
      <c r="H11" s="14">
        <f>IF(OR(B11="",E11=""),"",E11*G11)</f>
        <v/>
      </c>
    </row>
    <row r="12">
      <c r="A12" s="10" t="n"/>
      <c r="B12" s="11" t="n"/>
      <c r="C12" s="11" t="n"/>
      <c r="D12" s="11" t="n"/>
      <c r="E12" s="18" t="n"/>
      <c r="F12" s="19">
        <f>IF(B12="","",INDEX(Rates!$B$15:$B$42,MATCH(B12,Rates!$A$15:$A$42,0)))</f>
        <v/>
      </c>
      <c r="G12" s="20">
        <f>IF(B12="","",INDEX(Rates!$C$15:$C$42,MATCH(B12,Rates!$A$15:$A$42,0)))</f>
        <v/>
      </c>
      <c r="H12" s="14">
        <f>IF(OR(B12="",E12=""),"",E12*G12)</f>
        <v/>
      </c>
    </row>
    <row r="13">
      <c r="A13" s="10" t="n"/>
      <c r="B13" s="11" t="n"/>
      <c r="C13" s="11" t="n"/>
      <c r="D13" s="11" t="n"/>
      <c r="E13" s="18" t="n"/>
      <c r="F13" s="19">
        <f>IF(B13="","",INDEX(Rates!$B$15:$B$42,MATCH(B13,Rates!$A$15:$A$42,0)))</f>
        <v/>
      </c>
      <c r="G13" s="20">
        <f>IF(B13="","",INDEX(Rates!$C$15:$C$42,MATCH(B13,Rates!$A$15:$A$42,0)))</f>
        <v/>
      </c>
      <c r="H13" s="14">
        <f>IF(OR(B13="",E13=""),"",E13*G13)</f>
        <v/>
      </c>
    </row>
    <row r="14">
      <c r="A14" s="10" t="n"/>
      <c r="B14" s="11" t="n"/>
      <c r="C14" s="11" t="n"/>
      <c r="D14" s="11" t="n"/>
      <c r="E14" s="18" t="n"/>
      <c r="F14" s="19">
        <f>IF(B14="","",INDEX(Rates!$B$15:$B$42,MATCH(B14,Rates!$A$15:$A$42,0)))</f>
        <v/>
      </c>
      <c r="G14" s="20">
        <f>IF(B14="","",INDEX(Rates!$C$15:$C$42,MATCH(B14,Rates!$A$15:$A$42,0)))</f>
        <v/>
      </c>
      <c r="H14" s="14">
        <f>IF(OR(B14="",E14=""),"",E14*G14)</f>
        <v/>
      </c>
    </row>
    <row r="15">
      <c r="A15" s="10" t="n"/>
      <c r="B15" s="11" t="n"/>
      <c r="C15" s="11" t="n"/>
      <c r="D15" s="11" t="n"/>
      <c r="E15" s="18" t="n"/>
      <c r="F15" s="19">
        <f>IF(B15="","",INDEX(Rates!$B$15:$B$42,MATCH(B15,Rates!$A$15:$A$42,0)))</f>
        <v/>
      </c>
      <c r="G15" s="20">
        <f>IF(B15="","",INDEX(Rates!$C$15:$C$42,MATCH(B15,Rates!$A$15:$A$42,0)))</f>
        <v/>
      </c>
      <c r="H15" s="14">
        <f>IF(OR(B15="",E15=""),"",E15*G15)</f>
        <v/>
      </c>
    </row>
    <row r="16">
      <c r="A16" s="10" t="n"/>
      <c r="B16" s="11" t="n"/>
      <c r="C16" s="11" t="n"/>
      <c r="D16" s="11" t="n"/>
      <c r="E16" s="18" t="n"/>
      <c r="F16" s="19">
        <f>IF(B16="","",INDEX(Rates!$B$15:$B$42,MATCH(B16,Rates!$A$15:$A$42,0)))</f>
        <v/>
      </c>
      <c r="G16" s="20">
        <f>IF(B16="","",INDEX(Rates!$C$15:$C$42,MATCH(B16,Rates!$A$15:$A$42,0)))</f>
        <v/>
      </c>
      <c r="H16" s="14">
        <f>IF(OR(B16="",E16=""),"",E16*G16)</f>
        <v/>
      </c>
    </row>
    <row r="17">
      <c r="A17" s="10" t="n"/>
      <c r="B17" s="11" t="n"/>
      <c r="C17" s="11" t="n"/>
      <c r="D17" s="11" t="n"/>
      <c r="E17" s="18" t="n"/>
      <c r="F17" s="19">
        <f>IF(B17="","",INDEX(Rates!$B$15:$B$42,MATCH(B17,Rates!$A$15:$A$42,0)))</f>
        <v/>
      </c>
      <c r="G17" s="20">
        <f>IF(B17="","",INDEX(Rates!$C$15:$C$42,MATCH(B17,Rates!$A$15:$A$42,0)))</f>
        <v/>
      </c>
      <c r="H17" s="14">
        <f>IF(OR(B17="",E17=""),"",E17*G17)</f>
        <v/>
      </c>
    </row>
    <row r="18">
      <c r="A18" s="10" t="n"/>
      <c r="B18" s="11" t="n"/>
      <c r="C18" s="11" t="n"/>
      <c r="D18" s="11" t="n"/>
      <c r="E18" s="18" t="n"/>
      <c r="F18" s="19">
        <f>IF(B18="","",INDEX(Rates!$B$15:$B$42,MATCH(B18,Rates!$A$15:$A$42,0)))</f>
        <v/>
      </c>
      <c r="G18" s="20">
        <f>IF(B18="","",INDEX(Rates!$C$15:$C$42,MATCH(B18,Rates!$A$15:$A$42,0)))</f>
        <v/>
      </c>
      <c r="H18" s="14">
        <f>IF(OR(B18="",E18=""),"",E18*G18)</f>
        <v/>
      </c>
    </row>
    <row r="19">
      <c r="A19" s="10" t="n"/>
      <c r="B19" s="11" t="n"/>
      <c r="C19" s="11" t="n"/>
      <c r="D19" s="11" t="n"/>
      <c r="E19" s="18" t="n"/>
      <c r="F19" s="19">
        <f>IF(B19="","",INDEX(Rates!$B$15:$B$42,MATCH(B19,Rates!$A$15:$A$42,0)))</f>
        <v/>
      </c>
      <c r="G19" s="20">
        <f>IF(B19="","",INDEX(Rates!$C$15:$C$42,MATCH(B19,Rates!$A$15:$A$42,0)))</f>
        <v/>
      </c>
      <c r="H19" s="14">
        <f>IF(OR(B19="",E19=""),"",E19*G19)</f>
        <v/>
      </c>
    </row>
    <row r="20">
      <c r="A20" s="10" t="n"/>
      <c r="B20" s="11" t="n"/>
      <c r="C20" s="11" t="n"/>
      <c r="D20" s="11" t="n"/>
      <c r="E20" s="18" t="n"/>
      <c r="F20" s="19">
        <f>IF(B20="","",INDEX(Rates!$B$15:$B$42,MATCH(B20,Rates!$A$15:$A$42,0)))</f>
        <v/>
      </c>
      <c r="G20" s="20">
        <f>IF(B20="","",INDEX(Rates!$C$15:$C$42,MATCH(B20,Rates!$A$15:$A$42,0)))</f>
        <v/>
      </c>
      <c r="H20" s="14">
        <f>IF(OR(B20="",E20=""),"",E20*G20)</f>
        <v/>
      </c>
    </row>
    <row r="21">
      <c r="A21" s="10" t="n"/>
      <c r="B21" s="11" t="n"/>
      <c r="C21" s="11" t="n"/>
      <c r="D21" s="11" t="n"/>
      <c r="E21" s="18" t="n"/>
      <c r="F21" s="19">
        <f>IF(B21="","",INDEX(Rates!$B$15:$B$42,MATCH(B21,Rates!$A$15:$A$42,0)))</f>
        <v/>
      </c>
      <c r="G21" s="20">
        <f>IF(B21="","",INDEX(Rates!$C$15:$C$42,MATCH(B21,Rates!$A$15:$A$42,0)))</f>
        <v/>
      </c>
      <c r="H21" s="14">
        <f>IF(OR(B21="",E21=""),"",E21*G21)</f>
        <v/>
      </c>
    </row>
    <row r="22">
      <c r="A22" s="10" t="n"/>
      <c r="B22" s="11" t="n"/>
      <c r="C22" s="11" t="n"/>
      <c r="D22" s="11" t="n"/>
      <c r="E22" s="18" t="n"/>
      <c r="F22" s="19">
        <f>IF(B22="","",INDEX(Rates!$B$15:$B$42,MATCH(B22,Rates!$A$15:$A$42,0)))</f>
        <v/>
      </c>
      <c r="G22" s="20">
        <f>IF(B22="","",INDEX(Rates!$C$15:$C$42,MATCH(B22,Rates!$A$15:$A$42,0)))</f>
        <v/>
      </c>
      <c r="H22" s="14">
        <f>IF(OR(B22="",E22=""),"",E22*G22)</f>
        <v/>
      </c>
    </row>
    <row r="23">
      <c r="A23" s="10" t="n"/>
      <c r="B23" s="11" t="n"/>
      <c r="C23" s="11" t="n"/>
      <c r="D23" s="11" t="n"/>
      <c r="E23" s="18" t="n"/>
      <c r="F23" s="19">
        <f>IF(B23="","",INDEX(Rates!$B$15:$B$42,MATCH(B23,Rates!$A$15:$A$42,0)))</f>
        <v/>
      </c>
      <c r="G23" s="20">
        <f>IF(B23="","",INDEX(Rates!$C$15:$C$42,MATCH(B23,Rates!$A$15:$A$42,0)))</f>
        <v/>
      </c>
      <c r="H23" s="14">
        <f>IF(OR(B23="",E23=""),"",E23*G23)</f>
        <v/>
      </c>
    </row>
    <row r="24">
      <c r="A24" s="10" t="n"/>
      <c r="B24" s="11" t="n"/>
      <c r="C24" s="11" t="n"/>
      <c r="D24" s="11" t="n"/>
      <c r="E24" s="18" t="n"/>
      <c r="F24" s="19">
        <f>IF(B24="","",INDEX(Rates!$B$15:$B$42,MATCH(B24,Rates!$A$15:$A$42,0)))</f>
        <v/>
      </c>
      <c r="G24" s="20">
        <f>IF(B24="","",INDEX(Rates!$C$15:$C$42,MATCH(B24,Rates!$A$15:$A$42,0)))</f>
        <v/>
      </c>
      <c r="H24" s="14">
        <f>IF(OR(B24="",E24=""),"",E24*G24)</f>
        <v/>
      </c>
    </row>
    <row r="25">
      <c r="A25" s="10" t="n"/>
      <c r="B25" s="11" t="n"/>
      <c r="C25" s="11" t="n"/>
      <c r="D25" s="11" t="n"/>
      <c r="E25" s="18" t="n"/>
      <c r="F25" s="19">
        <f>IF(B25="","",INDEX(Rates!$B$15:$B$42,MATCH(B25,Rates!$A$15:$A$42,0)))</f>
        <v/>
      </c>
      <c r="G25" s="20">
        <f>IF(B25="","",INDEX(Rates!$C$15:$C$42,MATCH(B25,Rates!$A$15:$A$42,0)))</f>
        <v/>
      </c>
      <c r="H25" s="14">
        <f>IF(OR(B25="",E25=""),"",E25*G25)</f>
        <v/>
      </c>
    </row>
    <row r="26">
      <c r="A26" s="10" t="n"/>
      <c r="B26" s="11" t="n"/>
      <c r="C26" s="11" t="n"/>
      <c r="D26" s="11" t="n"/>
      <c r="E26" s="18" t="n"/>
      <c r="F26" s="19">
        <f>IF(B26="","",INDEX(Rates!$B$15:$B$42,MATCH(B26,Rates!$A$15:$A$42,0)))</f>
        <v/>
      </c>
      <c r="G26" s="20">
        <f>IF(B26="","",INDEX(Rates!$C$15:$C$42,MATCH(B26,Rates!$A$15:$A$42,0)))</f>
        <v/>
      </c>
      <c r="H26" s="14">
        <f>IF(OR(B26="",E26=""),"",E26*G26)</f>
        <v/>
      </c>
    </row>
    <row r="27">
      <c r="A27" s="10" t="n"/>
      <c r="B27" s="11" t="n"/>
      <c r="C27" s="11" t="n"/>
      <c r="D27" s="11" t="n"/>
      <c r="E27" s="18" t="n"/>
      <c r="F27" s="19">
        <f>IF(B27="","",INDEX(Rates!$B$15:$B$42,MATCH(B27,Rates!$A$15:$A$42,0)))</f>
        <v/>
      </c>
      <c r="G27" s="20">
        <f>IF(B27="","",INDEX(Rates!$C$15:$C$42,MATCH(B27,Rates!$A$15:$A$42,0)))</f>
        <v/>
      </c>
      <c r="H27" s="14">
        <f>IF(OR(B27="",E27=""),"",E27*G27)</f>
        <v/>
      </c>
    </row>
    <row r="28">
      <c r="A28" s="10" t="n"/>
      <c r="B28" s="11" t="n"/>
      <c r="C28" s="11" t="n"/>
      <c r="D28" s="11" t="n"/>
      <c r="E28" s="18" t="n"/>
      <c r="F28" s="19">
        <f>IF(B28="","",INDEX(Rates!$B$15:$B$42,MATCH(B28,Rates!$A$15:$A$42,0)))</f>
        <v/>
      </c>
      <c r="G28" s="20">
        <f>IF(B28="","",INDEX(Rates!$C$15:$C$42,MATCH(B28,Rates!$A$15:$A$42,0)))</f>
        <v/>
      </c>
      <c r="H28" s="14">
        <f>IF(OR(B28="",E28=""),"",E28*G28)</f>
        <v/>
      </c>
    </row>
    <row r="29">
      <c r="A29" s="10" t="n"/>
      <c r="B29" s="11" t="n"/>
      <c r="C29" s="11" t="n"/>
      <c r="D29" s="11" t="n"/>
      <c r="E29" s="18" t="n"/>
      <c r="F29" s="19">
        <f>IF(B29="","",INDEX(Rates!$B$15:$B$42,MATCH(B29,Rates!$A$15:$A$42,0)))</f>
        <v/>
      </c>
      <c r="G29" s="20">
        <f>IF(B29="","",INDEX(Rates!$C$15:$C$42,MATCH(B29,Rates!$A$15:$A$42,0)))</f>
        <v/>
      </c>
      <c r="H29" s="14">
        <f>IF(OR(B29="",E29=""),"",E29*G29)</f>
        <v/>
      </c>
    </row>
    <row r="30">
      <c r="A30" s="10" t="n"/>
      <c r="B30" s="11" t="n"/>
      <c r="C30" s="11" t="n"/>
      <c r="D30" s="11" t="n"/>
      <c r="E30" s="18" t="n"/>
      <c r="F30" s="19">
        <f>IF(B30="","",INDEX(Rates!$B$15:$B$42,MATCH(B30,Rates!$A$15:$A$42,0)))</f>
        <v/>
      </c>
      <c r="G30" s="20">
        <f>IF(B30="","",INDEX(Rates!$C$15:$C$42,MATCH(B30,Rates!$A$15:$A$42,0)))</f>
        <v/>
      </c>
      <c r="H30" s="14">
        <f>IF(OR(B30="",E30=""),"",E30*G30)</f>
        <v/>
      </c>
    </row>
    <row r="31">
      <c r="A31" s="10" t="n"/>
      <c r="B31" s="11" t="n"/>
      <c r="C31" s="11" t="n"/>
      <c r="D31" s="11" t="n"/>
      <c r="E31" s="18" t="n"/>
      <c r="F31" s="19">
        <f>IF(B31="","",INDEX(Rates!$B$15:$B$42,MATCH(B31,Rates!$A$15:$A$42,0)))</f>
        <v/>
      </c>
      <c r="G31" s="20">
        <f>IF(B31="","",INDEX(Rates!$C$15:$C$42,MATCH(B31,Rates!$A$15:$A$42,0)))</f>
        <v/>
      </c>
      <c r="H31" s="14">
        <f>IF(OR(B31="",E31=""),"",E31*G31)</f>
        <v/>
      </c>
    </row>
    <row r="32">
      <c r="A32" s="10" t="n"/>
      <c r="B32" s="11" t="n"/>
      <c r="C32" s="11" t="n"/>
      <c r="D32" s="11" t="n"/>
      <c r="E32" s="18" t="n"/>
      <c r="F32" s="19">
        <f>IF(B32="","",INDEX(Rates!$B$15:$B$42,MATCH(B32,Rates!$A$15:$A$42,0)))</f>
        <v/>
      </c>
      <c r="G32" s="20">
        <f>IF(B32="","",INDEX(Rates!$C$15:$C$42,MATCH(B32,Rates!$A$15:$A$42,0)))</f>
        <v/>
      </c>
      <c r="H32" s="14">
        <f>IF(OR(B32="",E32=""),"",E32*G32)</f>
        <v/>
      </c>
    </row>
    <row r="33">
      <c r="A33" s="10" t="n"/>
      <c r="B33" s="11" t="n"/>
      <c r="C33" s="11" t="n"/>
      <c r="D33" s="11" t="n"/>
      <c r="E33" s="18" t="n"/>
      <c r="F33" s="19">
        <f>IF(B33="","",INDEX(Rates!$B$15:$B$42,MATCH(B33,Rates!$A$15:$A$42,0)))</f>
        <v/>
      </c>
      <c r="G33" s="20">
        <f>IF(B33="","",INDEX(Rates!$C$15:$C$42,MATCH(B33,Rates!$A$15:$A$42,0)))</f>
        <v/>
      </c>
      <c r="H33" s="14">
        <f>IF(OR(B33="",E33=""),"",E33*G33)</f>
        <v/>
      </c>
    </row>
    <row r="34">
      <c r="A34" s="10" t="n"/>
      <c r="B34" s="11" t="n"/>
      <c r="C34" s="11" t="n"/>
      <c r="D34" s="11" t="n"/>
      <c r="E34" s="18" t="n"/>
      <c r="F34" s="19">
        <f>IF(B34="","",INDEX(Rates!$B$15:$B$42,MATCH(B34,Rates!$A$15:$A$42,0)))</f>
        <v/>
      </c>
      <c r="G34" s="20">
        <f>IF(B34="","",INDEX(Rates!$C$15:$C$42,MATCH(B34,Rates!$A$15:$A$42,0)))</f>
        <v/>
      </c>
      <c r="H34" s="14">
        <f>IF(OR(B34="",E34=""),"",E34*G34)</f>
        <v/>
      </c>
    </row>
    <row r="35">
      <c r="A35" s="10" t="n"/>
      <c r="B35" s="11" t="n"/>
      <c r="C35" s="11" t="n"/>
      <c r="D35" s="11" t="n"/>
      <c r="E35" s="18" t="n"/>
      <c r="F35" s="19">
        <f>IF(B35="","",INDEX(Rates!$B$15:$B$42,MATCH(B35,Rates!$A$15:$A$42,0)))</f>
        <v/>
      </c>
      <c r="G35" s="20">
        <f>IF(B35="","",INDEX(Rates!$C$15:$C$42,MATCH(B35,Rates!$A$15:$A$42,0)))</f>
        <v/>
      </c>
      <c r="H35" s="14">
        <f>IF(OR(B35="",E35=""),"",E35*G35)</f>
        <v/>
      </c>
    </row>
    <row r="36">
      <c r="A36" s="10" t="n"/>
      <c r="B36" s="11" t="n"/>
      <c r="C36" s="11" t="n"/>
      <c r="D36" s="11" t="n"/>
      <c r="E36" s="18" t="n"/>
      <c r="F36" s="19">
        <f>IF(B36="","",INDEX(Rates!$B$15:$B$42,MATCH(B36,Rates!$A$15:$A$42,0)))</f>
        <v/>
      </c>
      <c r="G36" s="20">
        <f>IF(B36="","",INDEX(Rates!$C$15:$C$42,MATCH(B36,Rates!$A$15:$A$42,0)))</f>
        <v/>
      </c>
      <c r="H36" s="14">
        <f>IF(OR(B36="",E36=""),"",E36*G36)</f>
        <v/>
      </c>
    </row>
    <row r="37">
      <c r="A37" s="10" t="n"/>
      <c r="B37" s="11" t="n"/>
      <c r="C37" s="11" t="n"/>
      <c r="D37" s="11" t="n"/>
      <c r="E37" s="18" t="n"/>
      <c r="F37" s="19">
        <f>IF(B37="","",INDEX(Rates!$B$15:$B$42,MATCH(B37,Rates!$A$15:$A$42,0)))</f>
        <v/>
      </c>
      <c r="G37" s="20">
        <f>IF(B37="","",INDEX(Rates!$C$15:$C$42,MATCH(B37,Rates!$A$15:$A$42,0)))</f>
        <v/>
      </c>
      <c r="H37" s="14">
        <f>IF(OR(B37="",E37=""),"",E37*G37)</f>
        <v/>
      </c>
    </row>
    <row r="38">
      <c r="A38" s="10" t="n"/>
      <c r="B38" s="11" t="n"/>
      <c r="C38" s="11" t="n"/>
      <c r="D38" s="11" t="n"/>
      <c r="E38" s="18" t="n"/>
      <c r="F38" s="19">
        <f>IF(B38="","",INDEX(Rates!$B$15:$B$42,MATCH(B38,Rates!$A$15:$A$42,0)))</f>
        <v/>
      </c>
      <c r="G38" s="20">
        <f>IF(B38="","",INDEX(Rates!$C$15:$C$42,MATCH(B38,Rates!$A$15:$A$42,0)))</f>
        <v/>
      </c>
      <c r="H38" s="14">
        <f>IF(OR(B38="",E38=""),"",E38*G38)</f>
        <v/>
      </c>
    </row>
    <row r="39">
      <c r="A39" s="10" t="n"/>
      <c r="B39" s="11" t="n"/>
      <c r="C39" s="11" t="n"/>
      <c r="D39" s="11" t="n"/>
      <c r="E39" s="18" t="n"/>
      <c r="F39" s="19">
        <f>IF(B39="","",INDEX(Rates!$B$15:$B$42,MATCH(B39,Rates!$A$15:$A$42,0)))</f>
        <v/>
      </c>
      <c r="G39" s="20">
        <f>IF(B39="","",INDEX(Rates!$C$15:$C$42,MATCH(B39,Rates!$A$15:$A$42,0)))</f>
        <v/>
      </c>
      <c r="H39" s="14">
        <f>IF(OR(B39="",E39=""),"",E39*G39)</f>
        <v/>
      </c>
    </row>
    <row r="40">
      <c r="A40" s="10" t="n"/>
      <c r="B40" s="11" t="n"/>
      <c r="C40" s="11" t="n"/>
      <c r="D40" s="11" t="n"/>
      <c r="E40" s="18" t="n"/>
      <c r="F40" s="19">
        <f>IF(B40="","",INDEX(Rates!$B$15:$B$42,MATCH(B40,Rates!$A$15:$A$42,0)))</f>
        <v/>
      </c>
      <c r="G40" s="20">
        <f>IF(B40="","",INDEX(Rates!$C$15:$C$42,MATCH(B40,Rates!$A$15:$A$42,0)))</f>
        <v/>
      </c>
      <c r="H40" s="14">
        <f>IF(OR(B40="",E40=""),"",E40*G40)</f>
        <v/>
      </c>
    </row>
    <row r="41">
      <c r="A41" s="10" t="n"/>
      <c r="B41" s="11" t="n"/>
      <c r="C41" s="11" t="n"/>
      <c r="D41" s="11" t="n"/>
      <c r="E41" s="18" t="n"/>
      <c r="F41" s="19">
        <f>IF(B41="","",INDEX(Rates!$B$15:$B$42,MATCH(B41,Rates!$A$15:$A$42,0)))</f>
        <v/>
      </c>
      <c r="G41" s="20">
        <f>IF(B41="","",INDEX(Rates!$C$15:$C$42,MATCH(B41,Rates!$A$15:$A$42,0)))</f>
        <v/>
      </c>
      <c r="H41" s="14">
        <f>IF(OR(B41="",E41=""),"",E41*G41)</f>
        <v/>
      </c>
    </row>
    <row r="42">
      <c r="A42" s="10" t="n"/>
      <c r="B42" s="11" t="n"/>
      <c r="C42" s="11" t="n"/>
      <c r="D42" s="11" t="n"/>
      <c r="E42" s="18" t="n"/>
      <c r="F42" s="19">
        <f>IF(B42="","",INDEX(Rates!$B$15:$B$42,MATCH(B42,Rates!$A$15:$A$42,0)))</f>
        <v/>
      </c>
      <c r="G42" s="20">
        <f>IF(B42="","",INDEX(Rates!$C$15:$C$42,MATCH(B42,Rates!$A$15:$A$42,0)))</f>
        <v/>
      </c>
      <c r="H42" s="14">
        <f>IF(OR(B42="",E42=""),"",E42*G42)</f>
        <v/>
      </c>
    </row>
    <row r="43">
      <c r="A43" s="10" t="n"/>
      <c r="B43" s="11" t="n"/>
      <c r="C43" s="11" t="n"/>
      <c r="D43" s="11" t="n"/>
      <c r="E43" s="18" t="n"/>
      <c r="F43" s="19">
        <f>IF(B43="","",INDEX(Rates!$B$15:$B$42,MATCH(B43,Rates!$A$15:$A$42,0)))</f>
        <v/>
      </c>
      <c r="G43" s="20">
        <f>IF(B43="","",INDEX(Rates!$C$15:$C$42,MATCH(B43,Rates!$A$15:$A$42,0)))</f>
        <v/>
      </c>
      <c r="H43" s="14">
        <f>IF(OR(B43="",E43=""),"",E43*G43)</f>
        <v/>
      </c>
    </row>
    <row r="44">
      <c r="A44" s="10" t="n"/>
      <c r="B44" s="11" t="n"/>
      <c r="C44" s="11" t="n"/>
      <c r="D44" s="11" t="n"/>
      <c r="E44" s="18" t="n"/>
      <c r="F44" s="19">
        <f>IF(B44="","",INDEX(Rates!$B$15:$B$42,MATCH(B44,Rates!$A$15:$A$42,0)))</f>
        <v/>
      </c>
      <c r="G44" s="20">
        <f>IF(B44="","",INDEX(Rates!$C$15:$C$42,MATCH(B44,Rates!$A$15:$A$42,0)))</f>
        <v/>
      </c>
      <c r="H44" s="14">
        <f>IF(OR(B44="",E44=""),"",E44*G44)</f>
        <v/>
      </c>
    </row>
    <row r="45">
      <c r="A45" s="10" t="n"/>
      <c r="B45" s="11" t="n"/>
      <c r="C45" s="11" t="n"/>
      <c r="D45" s="11" t="n"/>
      <c r="E45" s="18" t="n"/>
      <c r="F45" s="19">
        <f>IF(B45="","",INDEX(Rates!$B$15:$B$42,MATCH(B45,Rates!$A$15:$A$42,0)))</f>
        <v/>
      </c>
      <c r="G45" s="20">
        <f>IF(B45="","",INDEX(Rates!$C$15:$C$42,MATCH(B45,Rates!$A$15:$A$42,0)))</f>
        <v/>
      </c>
      <c r="H45" s="14">
        <f>IF(OR(B45="",E45=""),"",E45*G45)</f>
        <v/>
      </c>
    </row>
    <row r="46">
      <c r="A46" s="10" t="n"/>
      <c r="B46" s="11" t="n"/>
      <c r="C46" s="11" t="n"/>
      <c r="D46" s="11" t="n"/>
      <c r="E46" s="18" t="n"/>
      <c r="F46" s="19">
        <f>IF(B46="","",INDEX(Rates!$B$15:$B$42,MATCH(B46,Rates!$A$15:$A$42,0)))</f>
        <v/>
      </c>
      <c r="G46" s="20">
        <f>IF(B46="","",INDEX(Rates!$C$15:$C$42,MATCH(B46,Rates!$A$15:$A$42,0)))</f>
        <v/>
      </c>
      <c r="H46" s="14">
        <f>IF(OR(B46="",E46=""),"",E46*G46)</f>
        <v/>
      </c>
    </row>
    <row r="47">
      <c r="A47" s="10" t="n"/>
      <c r="B47" s="11" t="n"/>
      <c r="C47" s="11" t="n"/>
      <c r="D47" s="11" t="n"/>
      <c r="E47" s="18" t="n"/>
      <c r="F47" s="19">
        <f>IF(B47="","",INDEX(Rates!$B$15:$B$42,MATCH(B47,Rates!$A$15:$A$42,0)))</f>
        <v/>
      </c>
      <c r="G47" s="20">
        <f>IF(B47="","",INDEX(Rates!$C$15:$C$42,MATCH(B47,Rates!$A$15:$A$42,0)))</f>
        <v/>
      </c>
      <c r="H47" s="14">
        <f>IF(OR(B47="",E47=""),"",E47*G47)</f>
        <v/>
      </c>
    </row>
    <row r="48">
      <c r="A48" s="10" t="n"/>
      <c r="B48" s="11" t="n"/>
      <c r="C48" s="11" t="n"/>
      <c r="D48" s="11" t="n"/>
      <c r="E48" s="18" t="n"/>
      <c r="F48" s="19">
        <f>IF(B48="","",INDEX(Rates!$B$15:$B$42,MATCH(B48,Rates!$A$15:$A$42,0)))</f>
        <v/>
      </c>
      <c r="G48" s="20">
        <f>IF(B48="","",INDEX(Rates!$C$15:$C$42,MATCH(B48,Rates!$A$15:$A$42,0)))</f>
        <v/>
      </c>
      <c r="H48" s="14">
        <f>IF(OR(B48="",E48=""),"",E48*G48)</f>
        <v/>
      </c>
    </row>
    <row r="49">
      <c r="A49" s="10" t="n"/>
      <c r="B49" s="11" t="n"/>
      <c r="C49" s="11" t="n"/>
      <c r="D49" s="11" t="n"/>
      <c r="E49" s="18" t="n"/>
      <c r="F49" s="19">
        <f>IF(B49="","",INDEX(Rates!$B$15:$B$42,MATCH(B49,Rates!$A$15:$A$42,0)))</f>
        <v/>
      </c>
      <c r="G49" s="20">
        <f>IF(B49="","",INDEX(Rates!$C$15:$C$42,MATCH(B49,Rates!$A$15:$A$42,0)))</f>
        <v/>
      </c>
      <c r="H49" s="14">
        <f>IF(OR(B49="",E49=""),"",E49*G49)</f>
        <v/>
      </c>
    </row>
    <row r="50">
      <c r="A50" s="10" t="n"/>
      <c r="B50" s="11" t="n"/>
      <c r="C50" s="11" t="n"/>
      <c r="D50" s="11" t="n"/>
      <c r="E50" s="18" t="n"/>
      <c r="F50" s="19">
        <f>IF(B50="","",INDEX(Rates!$B$15:$B$42,MATCH(B50,Rates!$A$15:$A$42,0)))</f>
        <v/>
      </c>
      <c r="G50" s="20">
        <f>IF(B50="","",INDEX(Rates!$C$15:$C$42,MATCH(B50,Rates!$A$15:$A$42,0)))</f>
        <v/>
      </c>
      <c r="H50" s="14">
        <f>IF(OR(B50="",E50=""),"",E50*G50)</f>
        <v/>
      </c>
    </row>
    <row r="51">
      <c r="A51" s="10" t="n"/>
      <c r="B51" s="11" t="n"/>
      <c r="C51" s="11" t="n"/>
      <c r="D51" s="11" t="n"/>
      <c r="E51" s="18" t="n"/>
      <c r="F51" s="19">
        <f>IF(B51="","",INDEX(Rates!$B$15:$B$42,MATCH(B51,Rates!$A$15:$A$42,0)))</f>
        <v/>
      </c>
      <c r="G51" s="20">
        <f>IF(B51="","",INDEX(Rates!$C$15:$C$42,MATCH(B51,Rates!$A$15:$A$42,0)))</f>
        <v/>
      </c>
      <c r="H51" s="14">
        <f>IF(OR(B51="",E51=""),"",E51*G51)</f>
        <v/>
      </c>
    </row>
    <row r="52">
      <c r="A52" s="10" t="n"/>
      <c r="B52" s="11" t="n"/>
      <c r="C52" s="11" t="n"/>
      <c r="D52" s="11" t="n"/>
      <c r="E52" s="18" t="n"/>
      <c r="F52" s="19">
        <f>IF(B52="","",INDEX(Rates!$B$15:$B$42,MATCH(B52,Rates!$A$15:$A$42,0)))</f>
        <v/>
      </c>
      <c r="G52" s="20">
        <f>IF(B52="","",INDEX(Rates!$C$15:$C$42,MATCH(B52,Rates!$A$15:$A$42,0)))</f>
        <v/>
      </c>
      <c r="H52" s="14">
        <f>IF(OR(B52="",E52=""),"",E52*G52)</f>
        <v/>
      </c>
    </row>
    <row r="53">
      <c r="A53" s="10" t="n"/>
      <c r="B53" s="11" t="n"/>
      <c r="C53" s="11" t="n"/>
      <c r="D53" s="11" t="n"/>
      <c r="E53" s="18" t="n"/>
      <c r="F53" s="19">
        <f>IF(B53="","",INDEX(Rates!$B$15:$B$42,MATCH(B53,Rates!$A$15:$A$42,0)))</f>
        <v/>
      </c>
      <c r="G53" s="20">
        <f>IF(B53="","",INDEX(Rates!$C$15:$C$42,MATCH(B53,Rates!$A$15:$A$42,0)))</f>
        <v/>
      </c>
      <c r="H53" s="14">
        <f>IF(OR(B53="",E53=""),"",E53*G53)</f>
        <v/>
      </c>
    </row>
    <row r="54">
      <c r="A54" s="10" t="n"/>
      <c r="B54" s="11" t="n"/>
      <c r="C54" s="11" t="n"/>
      <c r="D54" s="11" t="n"/>
      <c r="E54" s="18" t="n"/>
      <c r="F54" s="19">
        <f>IF(B54="","",INDEX(Rates!$B$15:$B$42,MATCH(B54,Rates!$A$15:$A$42,0)))</f>
        <v/>
      </c>
      <c r="G54" s="20">
        <f>IF(B54="","",INDEX(Rates!$C$15:$C$42,MATCH(B54,Rates!$A$15:$A$42,0)))</f>
        <v/>
      </c>
      <c r="H54" s="14">
        <f>IF(OR(B54="",E54=""),"",E54*G54)</f>
        <v/>
      </c>
    </row>
    <row r="55">
      <c r="A55" s="10" t="n"/>
      <c r="B55" s="11" t="n"/>
      <c r="C55" s="11" t="n"/>
      <c r="D55" s="11" t="n"/>
      <c r="E55" s="18" t="n"/>
      <c r="F55" s="19">
        <f>IF(B55="","",INDEX(Rates!$B$15:$B$42,MATCH(B55,Rates!$A$15:$A$42,0)))</f>
        <v/>
      </c>
      <c r="G55" s="20">
        <f>IF(B55="","",INDEX(Rates!$C$15:$C$42,MATCH(B55,Rates!$A$15:$A$42,0)))</f>
        <v/>
      </c>
      <c r="H55" s="14">
        <f>IF(OR(B55="",E55=""),"",E55*G55)</f>
        <v/>
      </c>
    </row>
    <row r="56">
      <c r="A56" s="10" t="n"/>
      <c r="B56" s="11" t="n"/>
      <c r="C56" s="11" t="n"/>
      <c r="D56" s="11" t="n"/>
      <c r="E56" s="18" t="n"/>
      <c r="F56" s="19">
        <f>IF(B56="","",INDEX(Rates!$B$15:$B$42,MATCH(B56,Rates!$A$15:$A$42,0)))</f>
        <v/>
      </c>
      <c r="G56" s="20">
        <f>IF(B56="","",INDEX(Rates!$C$15:$C$42,MATCH(B56,Rates!$A$15:$A$42,0)))</f>
        <v/>
      </c>
      <c r="H56" s="14">
        <f>IF(OR(B56="",E56=""),"",E56*G56)</f>
        <v/>
      </c>
    </row>
    <row r="57">
      <c r="A57" s="10" t="n"/>
      <c r="B57" s="11" t="n"/>
      <c r="C57" s="11" t="n"/>
      <c r="D57" s="11" t="n"/>
      <c r="E57" s="18" t="n"/>
      <c r="F57" s="19">
        <f>IF(B57="","",INDEX(Rates!$B$15:$B$42,MATCH(B57,Rates!$A$15:$A$42,0)))</f>
        <v/>
      </c>
      <c r="G57" s="20">
        <f>IF(B57="","",INDEX(Rates!$C$15:$C$42,MATCH(B57,Rates!$A$15:$A$42,0)))</f>
        <v/>
      </c>
      <c r="H57" s="14">
        <f>IF(OR(B57="",E57=""),"",E57*G57)</f>
        <v/>
      </c>
    </row>
    <row r="58">
      <c r="A58" s="10" t="n"/>
      <c r="B58" s="11" t="n"/>
      <c r="C58" s="11" t="n"/>
      <c r="D58" s="11" t="n"/>
      <c r="E58" s="18" t="n"/>
      <c r="F58" s="19">
        <f>IF(B58="","",INDEX(Rates!$B$15:$B$42,MATCH(B58,Rates!$A$15:$A$42,0)))</f>
        <v/>
      </c>
      <c r="G58" s="20">
        <f>IF(B58="","",INDEX(Rates!$C$15:$C$42,MATCH(B58,Rates!$A$15:$A$42,0)))</f>
        <v/>
      </c>
      <c r="H58" s="14">
        <f>IF(OR(B58="",E58=""),"",E58*G58)</f>
        <v/>
      </c>
    </row>
    <row r="59">
      <c r="A59" s="10" t="n"/>
      <c r="B59" s="11" t="n"/>
      <c r="C59" s="11" t="n"/>
      <c r="D59" s="11" t="n"/>
      <c r="E59" s="18" t="n"/>
      <c r="F59" s="19">
        <f>IF(B59="","",INDEX(Rates!$B$15:$B$42,MATCH(B59,Rates!$A$15:$A$42,0)))</f>
        <v/>
      </c>
      <c r="G59" s="20">
        <f>IF(B59="","",INDEX(Rates!$C$15:$C$42,MATCH(B59,Rates!$A$15:$A$42,0)))</f>
        <v/>
      </c>
      <c r="H59" s="14">
        <f>IF(OR(B59="",E59=""),"",E59*G59)</f>
        <v/>
      </c>
    </row>
    <row r="60">
      <c r="A60" s="10" t="n"/>
      <c r="B60" s="11" t="n"/>
      <c r="C60" s="11" t="n"/>
      <c r="D60" s="11" t="n"/>
      <c r="E60" s="18" t="n"/>
      <c r="F60" s="19">
        <f>IF(B60="","",INDEX(Rates!$B$15:$B$42,MATCH(B60,Rates!$A$15:$A$42,0)))</f>
        <v/>
      </c>
      <c r="G60" s="20">
        <f>IF(B60="","",INDEX(Rates!$C$15:$C$42,MATCH(B60,Rates!$A$15:$A$42,0)))</f>
        <v/>
      </c>
      <c r="H60" s="14">
        <f>IF(OR(B60="",E60=""),"",E60*G60)</f>
        <v/>
      </c>
    </row>
    <row r="61">
      <c r="A61" s="10" t="n"/>
      <c r="B61" s="11" t="n"/>
      <c r="C61" s="11" t="n"/>
      <c r="D61" s="11" t="n"/>
      <c r="E61" s="18" t="n"/>
      <c r="F61" s="19">
        <f>IF(B61="","",INDEX(Rates!$B$15:$B$42,MATCH(B61,Rates!$A$15:$A$42,0)))</f>
        <v/>
      </c>
      <c r="G61" s="20">
        <f>IF(B61="","",INDEX(Rates!$C$15:$C$42,MATCH(B61,Rates!$A$15:$A$42,0)))</f>
        <v/>
      </c>
      <c r="H61" s="14">
        <f>IF(OR(B61="",E61=""),"",E61*G61)</f>
        <v/>
      </c>
    </row>
    <row r="62">
      <c r="A62" s="10" t="n"/>
      <c r="B62" s="11" t="n"/>
      <c r="C62" s="11" t="n"/>
      <c r="D62" s="11" t="n"/>
      <c r="E62" s="18" t="n"/>
      <c r="F62" s="19">
        <f>IF(B62="","",INDEX(Rates!$B$15:$B$42,MATCH(B62,Rates!$A$15:$A$42,0)))</f>
        <v/>
      </c>
      <c r="G62" s="20">
        <f>IF(B62="","",INDEX(Rates!$C$15:$C$42,MATCH(B62,Rates!$A$15:$A$42,0)))</f>
        <v/>
      </c>
      <c r="H62" s="14">
        <f>IF(OR(B62="",E62=""),"",E62*G62)</f>
        <v/>
      </c>
    </row>
    <row r="63">
      <c r="A63" s="10" t="n"/>
      <c r="B63" s="11" t="n"/>
      <c r="C63" s="11" t="n"/>
      <c r="D63" s="11" t="n"/>
      <c r="E63" s="18" t="n"/>
      <c r="F63" s="19">
        <f>IF(B63="","",INDEX(Rates!$B$15:$B$42,MATCH(B63,Rates!$A$15:$A$42,0)))</f>
        <v/>
      </c>
      <c r="G63" s="20">
        <f>IF(B63="","",INDEX(Rates!$C$15:$C$42,MATCH(B63,Rates!$A$15:$A$42,0)))</f>
        <v/>
      </c>
      <c r="H63" s="14">
        <f>IF(OR(B63="",E63=""),"",E63*G63)</f>
        <v/>
      </c>
    </row>
    <row r="64">
      <c r="A64" s="10" t="n"/>
      <c r="B64" s="11" t="n"/>
      <c r="C64" s="11" t="n"/>
      <c r="D64" s="11" t="n"/>
      <c r="E64" s="18" t="n"/>
      <c r="F64" s="19">
        <f>IF(B64="","",INDEX(Rates!$B$15:$B$42,MATCH(B64,Rates!$A$15:$A$42,0)))</f>
        <v/>
      </c>
      <c r="G64" s="20">
        <f>IF(B64="","",INDEX(Rates!$C$15:$C$42,MATCH(B64,Rates!$A$15:$A$42,0)))</f>
        <v/>
      </c>
      <c r="H64" s="14">
        <f>IF(OR(B64="",E64=""),"",E64*G64)</f>
        <v/>
      </c>
    </row>
    <row r="65">
      <c r="A65" s="10" t="n"/>
      <c r="B65" s="11" t="n"/>
      <c r="C65" s="11" t="n"/>
      <c r="D65" s="11" t="n"/>
      <c r="E65" s="18" t="n"/>
      <c r="F65" s="19">
        <f>IF(B65="","",INDEX(Rates!$B$15:$B$42,MATCH(B65,Rates!$A$15:$A$42,0)))</f>
        <v/>
      </c>
      <c r="G65" s="20">
        <f>IF(B65="","",INDEX(Rates!$C$15:$C$42,MATCH(B65,Rates!$A$15:$A$42,0)))</f>
        <v/>
      </c>
      <c r="H65" s="14">
        <f>IF(OR(B65="",E65=""),"",E65*G65)</f>
        <v/>
      </c>
    </row>
    <row r="66">
      <c r="A66" s="10" t="n"/>
      <c r="B66" s="11" t="n"/>
      <c r="C66" s="11" t="n"/>
      <c r="D66" s="11" t="n"/>
      <c r="E66" s="18" t="n"/>
      <c r="F66" s="19">
        <f>IF(B66="","",INDEX(Rates!$B$15:$B$42,MATCH(B66,Rates!$A$15:$A$42,0)))</f>
        <v/>
      </c>
      <c r="G66" s="20">
        <f>IF(B66="","",INDEX(Rates!$C$15:$C$42,MATCH(B66,Rates!$A$15:$A$42,0)))</f>
        <v/>
      </c>
      <c r="H66" s="14">
        <f>IF(OR(B66="",E66=""),"",E66*G66)</f>
        <v/>
      </c>
    </row>
    <row r="67">
      <c r="A67" s="10" t="n"/>
      <c r="B67" s="11" t="n"/>
      <c r="C67" s="11" t="n"/>
      <c r="D67" s="11" t="n"/>
      <c r="E67" s="18" t="n"/>
      <c r="F67" s="19">
        <f>IF(B67="","",INDEX(Rates!$B$15:$B$42,MATCH(B67,Rates!$A$15:$A$42,0)))</f>
        <v/>
      </c>
      <c r="G67" s="20">
        <f>IF(B67="","",INDEX(Rates!$C$15:$C$42,MATCH(B67,Rates!$A$15:$A$42,0)))</f>
        <v/>
      </c>
      <c r="H67" s="14">
        <f>IF(OR(B67="",E67=""),"",E67*G67)</f>
        <v/>
      </c>
    </row>
    <row r="68">
      <c r="A68" s="10" t="n"/>
      <c r="B68" s="11" t="n"/>
      <c r="C68" s="11" t="n"/>
      <c r="D68" s="11" t="n"/>
      <c r="E68" s="18" t="n"/>
      <c r="F68" s="19">
        <f>IF(B68="","",INDEX(Rates!$B$15:$B$42,MATCH(B68,Rates!$A$15:$A$42,0)))</f>
        <v/>
      </c>
      <c r="G68" s="20">
        <f>IF(B68="","",INDEX(Rates!$C$15:$C$42,MATCH(B68,Rates!$A$15:$A$42,0)))</f>
        <v/>
      </c>
      <c r="H68" s="14">
        <f>IF(OR(B68="",E68=""),"",E68*G68)</f>
        <v/>
      </c>
    </row>
    <row r="69">
      <c r="A69" s="10" t="n"/>
      <c r="B69" s="11" t="n"/>
      <c r="C69" s="11" t="n"/>
      <c r="D69" s="11" t="n"/>
      <c r="E69" s="18" t="n"/>
      <c r="F69" s="19">
        <f>IF(B69="","",INDEX(Rates!$B$15:$B$42,MATCH(B69,Rates!$A$15:$A$42,0)))</f>
        <v/>
      </c>
      <c r="G69" s="20">
        <f>IF(B69="","",INDEX(Rates!$C$15:$C$42,MATCH(B69,Rates!$A$15:$A$42,0)))</f>
        <v/>
      </c>
      <c r="H69" s="14">
        <f>IF(OR(B69="",E69=""),"",E69*G69)</f>
        <v/>
      </c>
    </row>
    <row r="70">
      <c r="A70" s="10" t="n"/>
      <c r="B70" s="11" t="n"/>
      <c r="C70" s="11" t="n"/>
      <c r="D70" s="11" t="n"/>
      <c r="E70" s="18" t="n"/>
      <c r="F70" s="19">
        <f>IF(B70="","",INDEX(Rates!$B$15:$B$42,MATCH(B70,Rates!$A$15:$A$42,0)))</f>
        <v/>
      </c>
      <c r="G70" s="20">
        <f>IF(B70="","",INDEX(Rates!$C$15:$C$42,MATCH(B70,Rates!$A$15:$A$42,0)))</f>
        <v/>
      </c>
      <c r="H70" s="14">
        <f>IF(OR(B70="",E70=""),"",E70*G70)</f>
        <v/>
      </c>
    </row>
    <row r="71">
      <c r="A71" s="10" t="n"/>
      <c r="B71" s="11" t="n"/>
      <c r="C71" s="11" t="n"/>
      <c r="D71" s="11" t="n"/>
      <c r="E71" s="18" t="n"/>
      <c r="F71" s="19">
        <f>IF(B71="","",INDEX(Rates!$B$15:$B$42,MATCH(B71,Rates!$A$15:$A$42,0)))</f>
        <v/>
      </c>
      <c r="G71" s="20">
        <f>IF(B71="","",INDEX(Rates!$C$15:$C$42,MATCH(B71,Rates!$A$15:$A$42,0)))</f>
        <v/>
      </c>
      <c r="H71" s="14">
        <f>IF(OR(B71="",E71=""),"",E71*G71)</f>
        <v/>
      </c>
    </row>
    <row r="72">
      <c r="A72" s="10" t="n"/>
      <c r="B72" s="11" t="n"/>
      <c r="C72" s="11" t="n"/>
      <c r="D72" s="11" t="n"/>
      <c r="E72" s="18" t="n"/>
      <c r="F72" s="19">
        <f>IF(B72="","",INDEX(Rates!$B$15:$B$42,MATCH(B72,Rates!$A$15:$A$42,0)))</f>
        <v/>
      </c>
      <c r="G72" s="20">
        <f>IF(B72="","",INDEX(Rates!$C$15:$C$42,MATCH(B72,Rates!$A$15:$A$42,0)))</f>
        <v/>
      </c>
      <c r="H72" s="14">
        <f>IF(OR(B72="",E72=""),"",E72*G72)</f>
        <v/>
      </c>
    </row>
    <row r="73">
      <c r="A73" s="10" t="n"/>
      <c r="B73" s="11" t="n"/>
      <c r="C73" s="11" t="n"/>
      <c r="D73" s="11" t="n"/>
      <c r="E73" s="18" t="n"/>
      <c r="F73" s="19">
        <f>IF(B73="","",INDEX(Rates!$B$15:$B$42,MATCH(B73,Rates!$A$15:$A$42,0)))</f>
        <v/>
      </c>
      <c r="G73" s="20">
        <f>IF(B73="","",INDEX(Rates!$C$15:$C$42,MATCH(B73,Rates!$A$15:$A$42,0)))</f>
        <v/>
      </c>
      <c r="H73" s="14">
        <f>IF(OR(B73="",E73=""),"",E73*G73)</f>
        <v/>
      </c>
    </row>
    <row r="74">
      <c r="A74" s="10" t="n"/>
      <c r="B74" s="11" t="n"/>
      <c r="C74" s="11" t="n"/>
      <c r="D74" s="11" t="n"/>
      <c r="E74" s="18" t="n"/>
      <c r="F74" s="19">
        <f>IF(B74="","",INDEX(Rates!$B$15:$B$42,MATCH(B74,Rates!$A$15:$A$42,0)))</f>
        <v/>
      </c>
      <c r="G74" s="20">
        <f>IF(B74="","",INDEX(Rates!$C$15:$C$42,MATCH(B74,Rates!$A$15:$A$42,0)))</f>
        <v/>
      </c>
      <c r="H74" s="14">
        <f>IF(OR(B74="",E74=""),"",E74*G74)</f>
        <v/>
      </c>
    </row>
    <row r="75">
      <c r="A75" s="10" t="n"/>
      <c r="B75" s="11" t="n"/>
      <c r="C75" s="11" t="n"/>
      <c r="D75" s="11" t="n"/>
      <c r="E75" s="18" t="n"/>
      <c r="F75" s="19">
        <f>IF(B75="","",INDEX(Rates!$B$15:$B$42,MATCH(B75,Rates!$A$15:$A$42,0)))</f>
        <v/>
      </c>
      <c r="G75" s="20">
        <f>IF(B75="","",INDEX(Rates!$C$15:$C$42,MATCH(B75,Rates!$A$15:$A$42,0)))</f>
        <v/>
      </c>
      <c r="H75" s="14">
        <f>IF(OR(B75="",E75=""),"",E75*G75)</f>
        <v/>
      </c>
    </row>
    <row r="76">
      <c r="A76" s="10" t="n"/>
      <c r="B76" s="11" t="n"/>
      <c r="C76" s="11" t="n"/>
      <c r="D76" s="11" t="n"/>
      <c r="E76" s="18" t="n"/>
      <c r="F76" s="19">
        <f>IF(B76="","",INDEX(Rates!$B$15:$B$42,MATCH(B76,Rates!$A$15:$A$42,0)))</f>
        <v/>
      </c>
      <c r="G76" s="20">
        <f>IF(B76="","",INDEX(Rates!$C$15:$C$42,MATCH(B76,Rates!$A$15:$A$42,0)))</f>
        <v/>
      </c>
      <c r="H76" s="14">
        <f>IF(OR(B76="",E76=""),"",E76*G76)</f>
        <v/>
      </c>
    </row>
    <row r="77">
      <c r="A77" s="10" t="n"/>
      <c r="B77" s="11" t="n"/>
      <c r="C77" s="11" t="n"/>
      <c r="D77" s="11" t="n"/>
      <c r="E77" s="18" t="n"/>
      <c r="F77" s="19">
        <f>IF(B77="","",INDEX(Rates!$B$15:$B$42,MATCH(B77,Rates!$A$15:$A$42,0)))</f>
        <v/>
      </c>
      <c r="G77" s="20">
        <f>IF(B77="","",INDEX(Rates!$C$15:$C$42,MATCH(B77,Rates!$A$15:$A$42,0)))</f>
        <v/>
      </c>
      <c r="H77" s="14">
        <f>IF(OR(B77="",E77=""),"",E77*G77)</f>
        <v/>
      </c>
    </row>
    <row r="78">
      <c r="A78" s="10" t="n"/>
      <c r="B78" s="11" t="n"/>
      <c r="C78" s="11" t="n"/>
      <c r="D78" s="11" t="n"/>
      <c r="E78" s="18" t="n"/>
      <c r="F78" s="19">
        <f>IF(B78="","",INDEX(Rates!$B$15:$B$42,MATCH(B78,Rates!$A$15:$A$42,0)))</f>
        <v/>
      </c>
      <c r="G78" s="20">
        <f>IF(B78="","",INDEX(Rates!$C$15:$C$42,MATCH(B78,Rates!$A$15:$A$42,0)))</f>
        <v/>
      </c>
      <c r="H78" s="14">
        <f>IF(OR(B78="",E78=""),"",E78*G78)</f>
        <v/>
      </c>
    </row>
    <row r="79">
      <c r="A79" s="10" t="n"/>
      <c r="B79" s="11" t="n"/>
      <c r="C79" s="11" t="n"/>
      <c r="D79" s="11" t="n"/>
      <c r="E79" s="18" t="n"/>
      <c r="F79" s="19">
        <f>IF(B79="","",INDEX(Rates!$B$15:$B$42,MATCH(B79,Rates!$A$15:$A$42,0)))</f>
        <v/>
      </c>
      <c r="G79" s="20">
        <f>IF(B79="","",INDEX(Rates!$C$15:$C$42,MATCH(B79,Rates!$A$15:$A$42,0)))</f>
        <v/>
      </c>
      <c r="H79" s="14">
        <f>IF(OR(B79="",E79=""),"",E79*G79)</f>
        <v/>
      </c>
    </row>
    <row r="80">
      <c r="A80" s="10" t="n"/>
      <c r="B80" s="11" t="n"/>
      <c r="C80" s="11" t="n"/>
      <c r="D80" s="11" t="n"/>
      <c r="E80" s="18" t="n"/>
      <c r="F80" s="19">
        <f>IF(B80="","",INDEX(Rates!$B$15:$B$42,MATCH(B80,Rates!$A$15:$A$42,0)))</f>
        <v/>
      </c>
      <c r="G80" s="20">
        <f>IF(B80="","",INDEX(Rates!$C$15:$C$42,MATCH(B80,Rates!$A$15:$A$42,0)))</f>
        <v/>
      </c>
      <c r="H80" s="14">
        <f>IF(OR(B80="",E80=""),"",E80*G80)</f>
        <v/>
      </c>
    </row>
    <row r="81">
      <c r="A81" s="10" t="n"/>
      <c r="B81" s="11" t="n"/>
      <c r="C81" s="11" t="n"/>
      <c r="D81" s="11" t="n"/>
      <c r="E81" s="18" t="n"/>
      <c r="F81" s="19">
        <f>IF(B81="","",INDEX(Rates!$B$15:$B$42,MATCH(B81,Rates!$A$15:$A$42,0)))</f>
        <v/>
      </c>
      <c r="G81" s="20">
        <f>IF(B81="","",INDEX(Rates!$C$15:$C$42,MATCH(B81,Rates!$A$15:$A$42,0)))</f>
        <v/>
      </c>
      <c r="H81" s="14">
        <f>IF(OR(B81="",E81=""),"",E81*G81)</f>
        <v/>
      </c>
    </row>
    <row r="82">
      <c r="A82" s="10" t="n"/>
      <c r="B82" s="11" t="n"/>
      <c r="C82" s="11" t="n"/>
      <c r="D82" s="11" t="n"/>
      <c r="E82" s="18" t="n"/>
      <c r="F82" s="19">
        <f>IF(B82="","",INDEX(Rates!$B$15:$B$42,MATCH(B82,Rates!$A$15:$A$42,0)))</f>
        <v/>
      </c>
      <c r="G82" s="20">
        <f>IF(B82="","",INDEX(Rates!$C$15:$C$42,MATCH(B82,Rates!$A$15:$A$42,0)))</f>
        <v/>
      </c>
      <c r="H82" s="14">
        <f>IF(OR(B82="",E82=""),"",E82*G82)</f>
        <v/>
      </c>
    </row>
    <row r="83">
      <c r="A83" s="10" t="n"/>
      <c r="B83" s="11" t="n"/>
      <c r="C83" s="11" t="n"/>
      <c r="D83" s="11" t="n"/>
      <c r="E83" s="18" t="n"/>
      <c r="F83" s="19">
        <f>IF(B83="","",INDEX(Rates!$B$15:$B$42,MATCH(B83,Rates!$A$15:$A$42,0)))</f>
        <v/>
      </c>
      <c r="G83" s="20">
        <f>IF(B83="","",INDEX(Rates!$C$15:$C$42,MATCH(B83,Rates!$A$15:$A$42,0)))</f>
        <v/>
      </c>
      <c r="H83" s="14">
        <f>IF(OR(B83="",E83=""),"",E83*G83)</f>
        <v/>
      </c>
    </row>
    <row r="84">
      <c r="A84" s="10" t="n"/>
      <c r="B84" s="11" t="n"/>
      <c r="C84" s="11" t="n"/>
      <c r="D84" s="11" t="n"/>
      <c r="E84" s="18" t="n"/>
      <c r="F84" s="19">
        <f>IF(B84="","",INDEX(Rates!$B$15:$B$42,MATCH(B84,Rates!$A$15:$A$42,0)))</f>
        <v/>
      </c>
      <c r="G84" s="20">
        <f>IF(B84="","",INDEX(Rates!$C$15:$C$42,MATCH(B84,Rates!$A$15:$A$42,0)))</f>
        <v/>
      </c>
      <c r="H84" s="14">
        <f>IF(OR(B84="",E84=""),"",E84*G84)</f>
        <v/>
      </c>
    </row>
    <row r="85">
      <c r="A85" s="10" t="n"/>
      <c r="B85" s="11" t="n"/>
      <c r="C85" s="11" t="n"/>
      <c r="D85" s="11" t="n"/>
      <c r="E85" s="18" t="n"/>
      <c r="F85" s="19">
        <f>IF(B85="","",INDEX(Rates!$B$15:$B$42,MATCH(B85,Rates!$A$15:$A$42,0)))</f>
        <v/>
      </c>
      <c r="G85" s="20">
        <f>IF(B85="","",INDEX(Rates!$C$15:$C$42,MATCH(B85,Rates!$A$15:$A$42,0)))</f>
        <v/>
      </c>
      <c r="H85" s="14">
        <f>IF(OR(B85="",E85=""),"",E85*G85)</f>
        <v/>
      </c>
    </row>
    <row r="86">
      <c r="A86" s="10" t="n"/>
      <c r="B86" s="11" t="n"/>
      <c r="C86" s="11" t="n"/>
      <c r="D86" s="11" t="n"/>
      <c r="E86" s="18" t="n"/>
      <c r="F86" s="19">
        <f>IF(B86="","",INDEX(Rates!$B$15:$B$42,MATCH(B86,Rates!$A$15:$A$42,0)))</f>
        <v/>
      </c>
      <c r="G86" s="20">
        <f>IF(B86="","",INDEX(Rates!$C$15:$C$42,MATCH(B86,Rates!$A$15:$A$42,0)))</f>
        <v/>
      </c>
      <c r="H86" s="14">
        <f>IF(OR(B86="",E86=""),"",E86*G86)</f>
        <v/>
      </c>
    </row>
    <row r="87">
      <c r="A87" s="10" t="n"/>
      <c r="B87" s="11" t="n"/>
      <c r="C87" s="11" t="n"/>
      <c r="D87" s="11" t="n"/>
      <c r="E87" s="18" t="n"/>
      <c r="F87" s="19">
        <f>IF(B87="","",INDEX(Rates!$B$15:$B$42,MATCH(B87,Rates!$A$15:$A$42,0)))</f>
        <v/>
      </c>
      <c r="G87" s="20">
        <f>IF(B87="","",INDEX(Rates!$C$15:$C$42,MATCH(B87,Rates!$A$15:$A$42,0)))</f>
        <v/>
      </c>
      <c r="H87" s="14">
        <f>IF(OR(B87="",E87=""),"",E87*G87)</f>
        <v/>
      </c>
    </row>
    <row r="88">
      <c r="A88" s="10" t="n"/>
      <c r="B88" s="11" t="n"/>
      <c r="C88" s="11" t="n"/>
      <c r="D88" s="11" t="n"/>
      <c r="E88" s="18" t="n"/>
      <c r="F88" s="19">
        <f>IF(B88="","",INDEX(Rates!$B$15:$B$42,MATCH(B88,Rates!$A$15:$A$42,0)))</f>
        <v/>
      </c>
      <c r="G88" s="20">
        <f>IF(B88="","",INDEX(Rates!$C$15:$C$42,MATCH(B88,Rates!$A$15:$A$42,0)))</f>
        <v/>
      </c>
      <c r="H88" s="14">
        <f>IF(OR(B88="",E88=""),"",E88*G88)</f>
        <v/>
      </c>
    </row>
    <row r="89">
      <c r="A89" s="10" t="n"/>
      <c r="B89" s="11" t="n"/>
      <c r="C89" s="11" t="n"/>
      <c r="D89" s="11" t="n"/>
      <c r="E89" s="18" t="n"/>
      <c r="F89" s="19">
        <f>IF(B89="","",INDEX(Rates!$B$15:$B$42,MATCH(B89,Rates!$A$15:$A$42,0)))</f>
        <v/>
      </c>
      <c r="G89" s="20">
        <f>IF(B89="","",INDEX(Rates!$C$15:$C$42,MATCH(B89,Rates!$A$15:$A$42,0)))</f>
        <v/>
      </c>
      <c r="H89" s="14">
        <f>IF(OR(B89="",E89=""),"",E89*G89)</f>
        <v/>
      </c>
    </row>
    <row r="90">
      <c r="A90" s="10" t="n"/>
      <c r="B90" s="11" t="n"/>
      <c r="C90" s="11" t="n"/>
      <c r="D90" s="11" t="n"/>
      <c r="E90" s="18" t="n"/>
      <c r="F90" s="19">
        <f>IF(B90="","",INDEX(Rates!$B$15:$B$42,MATCH(B90,Rates!$A$15:$A$42,0)))</f>
        <v/>
      </c>
      <c r="G90" s="20">
        <f>IF(B90="","",INDEX(Rates!$C$15:$C$42,MATCH(B90,Rates!$A$15:$A$42,0)))</f>
        <v/>
      </c>
      <c r="H90" s="14">
        <f>IF(OR(B90="",E90=""),"",E90*G90)</f>
        <v/>
      </c>
    </row>
    <row r="91">
      <c r="A91" s="10" t="n"/>
      <c r="B91" s="11" t="n"/>
      <c r="C91" s="11" t="n"/>
      <c r="D91" s="11" t="n"/>
      <c r="E91" s="18" t="n"/>
      <c r="F91" s="19">
        <f>IF(B91="","",INDEX(Rates!$B$15:$B$42,MATCH(B91,Rates!$A$15:$A$42,0)))</f>
        <v/>
      </c>
      <c r="G91" s="20">
        <f>IF(B91="","",INDEX(Rates!$C$15:$C$42,MATCH(B91,Rates!$A$15:$A$42,0)))</f>
        <v/>
      </c>
      <c r="H91" s="14">
        <f>IF(OR(B91="",E91=""),"",E91*G91)</f>
        <v/>
      </c>
    </row>
    <row r="92">
      <c r="A92" s="10" t="n"/>
      <c r="B92" s="11" t="n"/>
      <c r="C92" s="11" t="n"/>
      <c r="D92" s="11" t="n"/>
      <c r="E92" s="18" t="n"/>
      <c r="F92" s="19">
        <f>IF(B92="","",INDEX(Rates!$B$15:$B$42,MATCH(B92,Rates!$A$15:$A$42,0)))</f>
        <v/>
      </c>
      <c r="G92" s="20">
        <f>IF(B92="","",INDEX(Rates!$C$15:$C$42,MATCH(B92,Rates!$A$15:$A$42,0)))</f>
        <v/>
      </c>
      <c r="H92" s="14">
        <f>IF(OR(B92="",E92=""),"",E92*G92)</f>
        <v/>
      </c>
    </row>
    <row r="93">
      <c r="A93" s="10" t="n"/>
      <c r="B93" s="11" t="n"/>
      <c r="C93" s="11" t="n"/>
      <c r="D93" s="11" t="n"/>
      <c r="E93" s="18" t="n"/>
      <c r="F93" s="19">
        <f>IF(B93="","",INDEX(Rates!$B$15:$B$42,MATCH(B93,Rates!$A$15:$A$42,0)))</f>
        <v/>
      </c>
      <c r="G93" s="20">
        <f>IF(B93="","",INDEX(Rates!$C$15:$C$42,MATCH(B93,Rates!$A$15:$A$42,0)))</f>
        <v/>
      </c>
      <c r="H93" s="14">
        <f>IF(OR(B93="",E93=""),"",E93*G93)</f>
        <v/>
      </c>
    </row>
    <row r="94">
      <c r="A94" s="10" t="n"/>
      <c r="B94" s="11" t="n"/>
      <c r="C94" s="11" t="n"/>
      <c r="D94" s="11" t="n"/>
      <c r="E94" s="18" t="n"/>
      <c r="F94" s="19">
        <f>IF(B94="","",INDEX(Rates!$B$15:$B$42,MATCH(B94,Rates!$A$15:$A$42,0)))</f>
        <v/>
      </c>
      <c r="G94" s="20">
        <f>IF(B94="","",INDEX(Rates!$C$15:$C$42,MATCH(B94,Rates!$A$15:$A$42,0)))</f>
        <v/>
      </c>
      <c r="H94" s="14">
        <f>IF(OR(B94="",E94=""),"",E94*G94)</f>
        <v/>
      </c>
    </row>
    <row r="95">
      <c r="A95" s="10" t="n"/>
      <c r="B95" s="11" t="n"/>
      <c r="C95" s="11" t="n"/>
      <c r="D95" s="11" t="n"/>
      <c r="E95" s="18" t="n"/>
      <c r="F95" s="19">
        <f>IF(B95="","",INDEX(Rates!$B$15:$B$42,MATCH(B95,Rates!$A$15:$A$42,0)))</f>
        <v/>
      </c>
      <c r="G95" s="20">
        <f>IF(B95="","",INDEX(Rates!$C$15:$C$42,MATCH(B95,Rates!$A$15:$A$42,0)))</f>
        <v/>
      </c>
      <c r="H95" s="14">
        <f>IF(OR(B95="",E95=""),"",E95*G95)</f>
        <v/>
      </c>
    </row>
    <row r="96">
      <c r="A96" s="10" t="n"/>
      <c r="B96" s="11" t="n"/>
      <c r="C96" s="11" t="n"/>
      <c r="D96" s="11" t="n"/>
      <c r="E96" s="18" t="n"/>
      <c r="F96" s="19">
        <f>IF(B96="","",INDEX(Rates!$B$15:$B$42,MATCH(B96,Rates!$A$15:$A$42,0)))</f>
        <v/>
      </c>
      <c r="G96" s="20">
        <f>IF(B96="","",INDEX(Rates!$C$15:$C$42,MATCH(B96,Rates!$A$15:$A$42,0)))</f>
        <v/>
      </c>
      <c r="H96" s="14">
        <f>IF(OR(B96="",E96=""),"",E96*G96)</f>
        <v/>
      </c>
    </row>
    <row r="97">
      <c r="A97" s="10" t="n"/>
      <c r="B97" s="11" t="n"/>
      <c r="C97" s="11" t="n"/>
      <c r="D97" s="11" t="n"/>
      <c r="E97" s="18" t="n"/>
      <c r="F97" s="19">
        <f>IF(B97="","",INDEX(Rates!$B$15:$B$42,MATCH(B97,Rates!$A$15:$A$42,0)))</f>
        <v/>
      </c>
      <c r="G97" s="20">
        <f>IF(B97="","",INDEX(Rates!$C$15:$C$42,MATCH(B97,Rates!$A$15:$A$42,0)))</f>
        <v/>
      </c>
      <c r="H97" s="14">
        <f>IF(OR(B97="",E97=""),"",E97*G97)</f>
        <v/>
      </c>
    </row>
    <row r="98">
      <c r="A98" s="10" t="n"/>
      <c r="B98" s="11" t="n"/>
      <c r="C98" s="11" t="n"/>
      <c r="D98" s="11" t="n"/>
      <c r="E98" s="18" t="n"/>
      <c r="F98" s="19">
        <f>IF(B98="","",INDEX(Rates!$B$15:$B$42,MATCH(B98,Rates!$A$15:$A$42,0)))</f>
        <v/>
      </c>
      <c r="G98" s="20">
        <f>IF(B98="","",INDEX(Rates!$C$15:$C$42,MATCH(B98,Rates!$A$15:$A$42,0)))</f>
        <v/>
      </c>
      <c r="H98" s="14">
        <f>IF(OR(B98="",E98=""),"",E98*G98)</f>
        <v/>
      </c>
    </row>
    <row r="99">
      <c r="A99" s="10" t="n"/>
      <c r="B99" s="11" t="n"/>
      <c r="C99" s="11" t="n"/>
      <c r="D99" s="11" t="n"/>
      <c r="E99" s="18" t="n"/>
      <c r="F99" s="19">
        <f>IF(B99="","",INDEX(Rates!$B$15:$B$42,MATCH(B99,Rates!$A$15:$A$42,0)))</f>
        <v/>
      </c>
      <c r="G99" s="20">
        <f>IF(B99="","",INDEX(Rates!$C$15:$C$42,MATCH(B99,Rates!$A$15:$A$42,0)))</f>
        <v/>
      </c>
      <c r="H99" s="14">
        <f>IF(OR(B99="",E99=""),"",E99*G99)</f>
        <v/>
      </c>
    </row>
    <row r="100">
      <c r="A100" s="10" t="n"/>
      <c r="B100" s="11" t="n"/>
      <c r="C100" s="11" t="n"/>
      <c r="D100" s="11" t="n"/>
      <c r="E100" s="18" t="n"/>
      <c r="F100" s="19">
        <f>IF(B100="","",INDEX(Rates!$B$15:$B$42,MATCH(B100,Rates!$A$15:$A$42,0)))</f>
        <v/>
      </c>
      <c r="G100" s="20">
        <f>IF(B100="","",INDEX(Rates!$C$15:$C$42,MATCH(B100,Rates!$A$15:$A$42,0)))</f>
        <v/>
      </c>
      <c r="H100" s="14">
        <f>IF(OR(B100="",E100=""),"",E100*G100)</f>
        <v/>
      </c>
    </row>
    <row r="101">
      <c r="A101" s="10" t="n"/>
      <c r="B101" s="11" t="n"/>
      <c r="C101" s="11" t="n"/>
      <c r="D101" s="11" t="n"/>
      <c r="E101" s="18" t="n"/>
      <c r="F101" s="19">
        <f>IF(B101="","",INDEX(Rates!$B$15:$B$42,MATCH(B101,Rates!$A$15:$A$42,0)))</f>
        <v/>
      </c>
      <c r="G101" s="20">
        <f>IF(B101="","",INDEX(Rates!$C$15:$C$42,MATCH(B101,Rates!$A$15:$A$42,0)))</f>
        <v/>
      </c>
      <c r="H101" s="14">
        <f>IF(OR(B101="",E101=""),"",E101*G101)</f>
        <v/>
      </c>
    </row>
    <row r="102">
      <c r="A102" s="10" t="n"/>
      <c r="B102" s="11" t="n"/>
      <c r="C102" s="11" t="n"/>
      <c r="D102" s="11" t="n"/>
      <c r="E102" s="18" t="n"/>
      <c r="F102" s="19">
        <f>IF(B102="","",INDEX(Rates!$B$15:$B$42,MATCH(B102,Rates!$A$15:$A$42,0)))</f>
        <v/>
      </c>
      <c r="G102" s="20">
        <f>IF(B102="","",INDEX(Rates!$C$15:$C$42,MATCH(B102,Rates!$A$15:$A$42,0)))</f>
        <v/>
      </c>
      <c r="H102" s="14">
        <f>IF(OR(B102="",E102=""),"",E102*G102)</f>
        <v/>
      </c>
    </row>
    <row r="103">
      <c r="A103" s="10" t="n"/>
      <c r="B103" s="11" t="n"/>
      <c r="C103" s="11" t="n"/>
      <c r="D103" s="11" t="n"/>
      <c r="E103" s="18" t="n"/>
      <c r="F103" s="19">
        <f>IF(B103="","",INDEX(Rates!$B$15:$B$42,MATCH(B103,Rates!$A$15:$A$42,0)))</f>
        <v/>
      </c>
      <c r="G103" s="20">
        <f>IF(B103="","",INDEX(Rates!$C$15:$C$42,MATCH(B103,Rates!$A$15:$A$42,0)))</f>
        <v/>
      </c>
      <c r="H103" s="14">
        <f>IF(OR(B103="",E103=""),"",E103*G103)</f>
        <v/>
      </c>
    </row>
    <row r="104">
      <c r="A104" s="10" t="n"/>
      <c r="B104" s="11" t="n"/>
      <c r="C104" s="11" t="n"/>
      <c r="D104" s="11" t="n"/>
      <c r="E104" s="18" t="n"/>
      <c r="F104" s="19">
        <f>IF(B104="","",INDEX(Rates!$B$15:$B$42,MATCH(B104,Rates!$A$15:$A$42,0)))</f>
        <v/>
      </c>
      <c r="G104" s="20">
        <f>IF(B104="","",INDEX(Rates!$C$15:$C$42,MATCH(B104,Rates!$A$15:$A$42,0)))</f>
        <v/>
      </c>
      <c r="H104" s="14">
        <f>IF(OR(B104="",E104=""),"",E104*G104)</f>
        <v/>
      </c>
    </row>
    <row r="105">
      <c r="A105" s="10" t="n"/>
      <c r="B105" s="11" t="n"/>
      <c r="C105" s="11" t="n"/>
      <c r="D105" s="11" t="n"/>
      <c r="E105" s="18" t="n"/>
      <c r="F105" s="19">
        <f>IF(B105="","",INDEX(Rates!$B$15:$B$42,MATCH(B105,Rates!$A$15:$A$42,0)))</f>
        <v/>
      </c>
      <c r="G105" s="20">
        <f>IF(B105="","",INDEX(Rates!$C$15:$C$42,MATCH(B105,Rates!$A$15:$A$42,0)))</f>
        <v/>
      </c>
      <c r="H105" s="14">
        <f>IF(OR(B105="",E105=""),"",E105*G105)</f>
        <v/>
      </c>
    </row>
    <row r="106">
      <c r="A106" s="10" t="n"/>
      <c r="B106" s="11" t="n"/>
      <c r="C106" s="11" t="n"/>
      <c r="D106" s="11" t="n"/>
      <c r="E106" s="18" t="n"/>
      <c r="F106" s="19">
        <f>IF(B106="","",INDEX(Rates!$B$15:$B$42,MATCH(B106,Rates!$A$15:$A$42,0)))</f>
        <v/>
      </c>
      <c r="G106" s="20">
        <f>IF(B106="","",INDEX(Rates!$C$15:$C$42,MATCH(B106,Rates!$A$15:$A$42,0)))</f>
        <v/>
      </c>
      <c r="H106" s="14">
        <f>IF(OR(B106="",E106=""),"",E106*G106)</f>
        <v/>
      </c>
    </row>
    <row r="107">
      <c r="A107" s="10" t="n"/>
      <c r="B107" s="11" t="n"/>
      <c r="C107" s="11" t="n"/>
      <c r="D107" s="11" t="n"/>
      <c r="E107" s="18" t="n"/>
      <c r="F107" s="19">
        <f>IF(B107="","",INDEX(Rates!$B$15:$B$42,MATCH(B107,Rates!$A$15:$A$42,0)))</f>
        <v/>
      </c>
      <c r="G107" s="20">
        <f>IF(B107="","",INDEX(Rates!$C$15:$C$42,MATCH(B107,Rates!$A$15:$A$42,0)))</f>
        <v/>
      </c>
      <c r="H107" s="14">
        <f>IF(OR(B107="",E107=""),"",E107*G107)</f>
        <v/>
      </c>
    </row>
    <row r="108">
      <c r="A108" s="10" t="n"/>
      <c r="B108" s="11" t="n"/>
      <c r="C108" s="11" t="n"/>
      <c r="D108" s="11" t="n"/>
      <c r="E108" s="18" t="n"/>
      <c r="F108" s="19">
        <f>IF(B108="","",INDEX(Rates!$B$15:$B$42,MATCH(B108,Rates!$A$15:$A$42,0)))</f>
        <v/>
      </c>
      <c r="G108" s="20">
        <f>IF(B108="","",INDEX(Rates!$C$15:$C$42,MATCH(B108,Rates!$A$15:$A$42,0)))</f>
        <v/>
      </c>
      <c r="H108" s="14">
        <f>IF(OR(B108="",E108=""),"",E108*G108)</f>
        <v/>
      </c>
    </row>
    <row r="109">
      <c r="A109" s="10" t="n"/>
      <c r="B109" s="11" t="n"/>
      <c r="C109" s="11" t="n"/>
      <c r="D109" s="11" t="n"/>
      <c r="E109" s="18" t="n"/>
      <c r="F109" s="19">
        <f>IF(B109="","",INDEX(Rates!$B$15:$B$42,MATCH(B109,Rates!$A$15:$A$42,0)))</f>
        <v/>
      </c>
      <c r="G109" s="20">
        <f>IF(B109="","",INDEX(Rates!$C$15:$C$42,MATCH(B109,Rates!$A$15:$A$42,0)))</f>
        <v/>
      </c>
      <c r="H109" s="14">
        <f>IF(OR(B109="",E109=""),"",E109*G109)</f>
        <v/>
      </c>
    </row>
    <row r="110">
      <c r="A110" s="10" t="n"/>
      <c r="B110" s="11" t="n"/>
      <c r="C110" s="11" t="n"/>
      <c r="D110" s="11" t="n"/>
      <c r="E110" s="18" t="n"/>
      <c r="F110" s="19">
        <f>IF(B110="","",INDEX(Rates!$B$15:$B$42,MATCH(B110,Rates!$A$15:$A$42,0)))</f>
        <v/>
      </c>
      <c r="G110" s="20">
        <f>IF(B110="","",INDEX(Rates!$C$15:$C$42,MATCH(B110,Rates!$A$15:$A$42,0)))</f>
        <v/>
      </c>
      <c r="H110" s="14">
        <f>IF(OR(B110="",E110=""),"",E110*G110)</f>
        <v/>
      </c>
    </row>
    <row r="111">
      <c r="A111" s="10" t="n"/>
      <c r="B111" s="11" t="n"/>
      <c r="C111" s="11" t="n"/>
      <c r="D111" s="11" t="n"/>
      <c r="E111" s="18" t="n"/>
      <c r="F111" s="19">
        <f>IF(B111="","",INDEX(Rates!$B$15:$B$42,MATCH(B111,Rates!$A$15:$A$42,0)))</f>
        <v/>
      </c>
      <c r="G111" s="20">
        <f>IF(B111="","",INDEX(Rates!$C$15:$C$42,MATCH(B111,Rates!$A$15:$A$42,0)))</f>
        <v/>
      </c>
      <c r="H111" s="14">
        <f>IF(OR(B111="",E111=""),"",E111*G111)</f>
        <v/>
      </c>
    </row>
    <row r="112">
      <c r="A112" s="10" t="n"/>
      <c r="B112" s="11" t="n"/>
      <c r="C112" s="11" t="n"/>
      <c r="D112" s="11" t="n"/>
      <c r="E112" s="18" t="n"/>
      <c r="F112" s="19">
        <f>IF(B112="","",INDEX(Rates!$B$15:$B$42,MATCH(B112,Rates!$A$15:$A$42,0)))</f>
        <v/>
      </c>
      <c r="G112" s="20">
        <f>IF(B112="","",INDEX(Rates!$C$15:$C$42,MATCH(B112,Rates!$A$15:$A$42,0)))</f>
        <v/>
      </c>
      <c r="H112" s="14">
        <f>IF(OR(B112="",E112=""),"",E112*G112)</f>
        <v/>
      </c>
    </row>
    <row r="113">
      <c r="A113" s="10" t="n"/>
      <c r="B113" s="11" t="n"/>
      <c r="C113" s="11" t="n"/>
      <c r="D113" s="11" t="n"/>
      <c r="E113" s="18" t="n"/>
      <c r="F113" s="19">
        <f>IF(B113="","",INDEX(Rates!$B$15:$B$42,MATCH(B113,Rates!$A$15:$A$42,0)))</f>
        <v/>
      </c>
      <c r="G113" s="20">
        <f>IF(B113="","",INDEX(Rates!$C$15:$C$42,MATCH(B113,Rates!$A$15:$A$42,0)))</f>
        <v/>
      </c>
      <c r="H113" s="14">
        <f>IF(OR(B113="",E113=""),"",E113*G113)</f>
        <v/>
      </c>
    </row>
    <row r="114">
      <c r="A114" s="10" t="n"/>
      <c r="B114" s="11" t="n"/>
      <c r="C114" s="11" t="n"/>
      <c r="D114" s="11" t="n"/>
      <c r="E114" s="18" t="n"/>
      <c r="F114" s="19">
        <f>IF(B114="","",INDEX(Rates!$B$15:$B$42,MATCH(B114,Rates!$A$15:$A$42,0)))</f>
        <v/>
      </c>
      <c r="G114" s="20">
        <f>IF(B114="","",INDEX(Rates!$C$15:$C$42,MATCH(B114,Rates!$A$15:$A$42,0)))</f>
        <v/>
      </c>
      <c r="H114" s="14">
        <f>IF(OR(B114="",E114=""),"",E114*G114)</f>
        <v/>
      </c>
    </row>
    <row r="115">
      <c r="A115" s="10" t="n"/>
      <c r="B115" s="11" t="n"/>
      <c r="C115" s="11" t="n"/>
      <c r="D115" s="11" t="n"/>
      <c r="E115" s="18" t="n"/>
      <c r="F115" s="19">
        <f>IF(B115="","",INDEX(Rates!$B$15:$B$42,MATCH(B115,Rates!$A$15:$A$42,0)))</f>
        <v/>
      </c>
      <c r="G115" s="20">
        <f>IF(B115="","",INDEX(Rates!$C$15:$C$42,MATCH(B115,Rates!$A$15:$A$42,0)))</f>
        <v/>
      </c>
      <c r="H115" s="14">
        <f>IF(OR(B115="",E115=""),"",E115*G115)</f>
        <v/>
      </c>
    </row>
    <row r="116">
      <c r="A116" s="10" t="n"/>
      <c r="B116" s="11" t="n"/>
      <c r="C116" s="11" t="n"/>
      <c r="D116" s="11" t="n"/>
      <c r="E116" s="18" t="n"/>
      <c r="F116" s="19">
        <f>IF(B116="","",INDEX(Rates!$B$15:$B$42,MATCH(B116,Rates!$A$15:$A$42,0)))</f>
        <v/>
      </c>
      <c r="G116" s="20">
        <f>IF(B116="","",INDEX(Rates!$C$15:$C$42,MATCH(B116,Rates!$A$15:$A$42,0)))</f>
        <v/>
      </c>
      <c r="H116" s="14">
        <f>IF(OR(B116="",E116=""),"",E116*G116)</f>
        <v/>
      </c>
    </row>
    <row r="117">
      <c r="A117" s="10" t="n"/>
      <c r="B117" s="11" t="n"/>
      <c r="C117" s="11" t="n"/>
      <c r="D117" s="11" t="n"/>
      <c r="E117" s="18" t="n"/>
      <c r="F117" s="19">
        <f>IF(B117="","",INDEX(Rates!$B$15:$B$42,MATCH(B117,Rates!$A$15:$A$42,0)))</f>
        <v/>
      </c>
      <c r="G117" s="20">
        <f>IF(B117="","",INDEX(Rates!$C$15:$C$42,MATCH(B117,Rates!$A$15:$A$42,0)))</f>
        <v/>
      </c>
      <c r="H117" s="14">
        <f>IF(OR(B117="",E117=""),"",E117*G117)</f>
        <v/>
      </c>
    </row>
    <row r="118">
      <c r="A118" s="10" t="n"/>
      <c r="B118" s="11" t="n"/>
      <c r="C118" s="11" t="n"/>
      <c r="D118" s="11" t="n"/>
      <c r="E118" s="18" t="n"/>
      <c r="F118" s="19">
        <f>IF(B118="","",INDEX(Rates!$B$15:$B$42,MATCH(B118,Rates!$A$15:$A$42,0)))</f>
        <v/>
      </c>
      <c r="G118" s="20">
        <f>IF(B118="","",INDEX(Rates!$C$15:$C$42,MATCH(B118,Rates!$A$15:$A$42,0)))</f>
        <v/>
      </c>
      <c r="H118" s="14">
        <f>IF(OR(B118="",E118=""),"",E118*G118)</f>
        <v/>
      </c>
    </row>
    <row r="119">
      <c r="A119" s="10" t="n"/>
      <c r="B119" s="11" t="n"/>
      <c r="C119" s="11" t="n"/>
      <c r="D119" s="11" t="n"/>
      <c r="E119" s="18" t="n"/>
      <c r="F119" s="19">
        <f>IF(B119="","",INDEX(Rates!$B$15:$B$42,MATCH(B119,Rates!$A$15:$A$42,0)))</f>
        <v/>
      </c>
      <c r="G119" s="20">
        <f>IF(B119="","",INDEX(Rates!$C$15:$C$42,MATCH(B119,Rates!$A$15:$A$42,0)))</f>
        <v/>
      </c>
      <c r="H119" s="14">
        <f>IF(OR(B119="",E119=""),"",E119*G119)</f>
        <v/>
      </c>
    </row>
    <row r="120">
      <c r="A120" s="10" t="n"/>
      <c r="B120" s="11" t="n"/>
      <c r="C120" s="11" t="n"/>
      <c r="D120" s="11" t="n"/>
      <c r="E120" s="18" t="n"/>
      <c r="F120" s="19">
        <f>IF(B120="","",INDEX(Rates!$B$15:$B$42,MATCH(B120,Rates!$A$15:$A$42,0)))</f>
        <v/>
      </c>
      <c r="G120" s="20">
        <f>IF(B120="","",INDEX(Rates!$C$15:$C$42,MATCH(B120,Rates!$A$15:$A$42,0)))</f>
        <v/>
      </c>
      <c r="H120" s="14">
        <f>IF(OR(B120="",E120=""),"",E120*G120)</f>
        <v/>
      </c>
    </row>
    <row r="121">
      <c r="A121" s="10" t="n"/>
      <c r="B121" s="11" t="n"/>
      <c r="C121" s="11" t="n"/>
      <c r="D121" s="11" t="n"/>
      <c r="E121" s="18" t="n"/>
      <c r="F121" s="19">
        <f>IF(B121="","",INDEX(Rates!$B$15:$B$42,MATCH(B121,Rates!$A$15:$A$42,0)))</f>
        <v/>
      </c>
      <c r="G121" s="20">
        <f>IF(B121="","",INDEX(Rates!$C$15:$C$42,MATCH(B121,Rates!$A$15:$A$42,0)))</f>
        <v/>
      </c>
      <c r="H121" s="14">
        <f>IF(OR(B121="",E121=""),"",E121*G121)</f>
        <v/>
      </c>
    </row>
    <row r="122">
      <c r="A122" s="10" t="n"/>
      <c r="B122" s="11" t="n"/>
      <c r="C122" s="11" t="n"/>
      <c r="D122" s="11" t="n"/>
      <c r="E122" s="18" t="n"/>
      <c r="F122" s="19">
        <f>IF(B122="","",INDEX(Rates!$B$15:$B$42,MATCH(B122,Rates!$A$15:$A$42,0)))</f>
        <v/>
      </c>
      <c r="G122" s="20">
        <f>IF(B122="","",INDEX(Rates!$C$15:$C$42,MATCH(B122,Rates!$A$15:$A$42,0)))</f>
        <v/>
      </c>
      <c r="H122" s="14">
        <f>IF(OR(B122="",E122=""),"",E122*G122)</f>
        <v/>
      </c>
    </row>
    <row r="123">
      <c r="A123" s="10" t="n"/>
      <c r="B123" s="11" t="n"/>
      <c r="C123" s="11" t="n"/>
      <c r="D123" s="11" t="n"/>
      <c r="E123" s="18" t="n"/>
      <c r="F123" s="19">
        <f>IF(B123="","",INDEX(Rates!$B$15:$B$42,MATCH(B123,Rates!$A$15:$A$42,0)))</f>
        <v/>
      </c>
      <c r="G123" s="20">
        <f>IF(B123="","",INDEX(Rates!$C$15:$C$42,MATCH(B123,Rates!$A$15:$A$42,0)))</f>
        <v/>
      </c>
      <c r="H123" s="14">
        <f>IF(OR(B123="",E123=""),"",E123*G123)</f>
        <v/>
      </c>
    </row>
    <row r="124">
      <c r="A124" s="10" t="n"/>
      <c r="B124" s="11" t="n"/>
      <c r="C124" s="11" t="n"/>
      <c r="D124" s="11" t="n"/>
      <c r="E124" s="18" t="n"/>
      <c r="F124" s="19">
        <f>IF(B124="","",INDEX(Rates!$B$15:$B$42,MATCH(B124,Rates!$A$15:$A$42,0)))</f>
        <v/>
      </c>
      <c r="G124" s="20">
        <f>IF(B124="","",INDEX(Rates!$C$15:$C$42,MATCH(B124,Rates!$A$15:$A$42,0)))</f>
        <v/>
      </c>
      <c r="H124" s="14">
        <f>IF(OR(B124="",E124=""),"",E124*G124)</f>
        <v/>
      </c>
    </row>
    <row r="125">
      <c r="A125" s="10" t="n"/>
      <c r="B125" s="11" t="n"/>
      <c r="C125" s="11" t="n"/>
      <c r="D125" s="11" t="n"/>
      <c r="E125" s="18" t="n"/>
      <c r="F125" s="19">
        <f>IF(B125="","",INDEX(Rates!$B$15:$B$42,MATCH(B125,Rates!$A$15:$A$42,0)))</f>
        <v/>
      </c>
      <c r="G125" s="20">
        <f>IF(B125="","",INDEX(Rates!$C$15:$C$42,MATCH(B125,Rates!$A$15:$A$42,0)))</f>
        <v/>
      </c>
      <c r="H125" s="14">
        <f>IF(OR(B125="",E125=""),"",E125*G125)</f>
        <v/>
      </c>
    </row>
    <row r="126">
      <c r="A126" s="10" t="n"/>
      <c r="B126" s="11" t="n"/>
      <c r="C126" s="11" t="n"/>
      <c r="D126" s="11" t="n"/>
      <c r="E126" s="18" t="n"/>
      <c r="F126" s="19">
        <f>IF(B126="","",INDEX(Rates!$B$15:$B$42,MATCH(B126,Rates!$A$15:$A$42,0)))</f>
        <v/>
      </c>
      <c r="G126" s="20">
        <f>IF(B126="","",INDEX(Rates!$C$15:$C$42,MATCH(B126,Rates!$A$15:$A$42,0)))</f>
        <v/>
      </c>
      <c r="H126" s="14">
        <f>IF(OR(B126="",E126=""),"",E126*G126)</f>
        <v/>
      </c>
    </row>
    <row r="127">
      <c r="A127" s="10" t="n"/>
      <c r="B127" s="11" t="n"/>
      <c r="C127" s="11" t="n"/>
      <c r="D127" s="11" t="n"/>
      <c r="E127" s="18" t="n"/>
      <c r="F127" s="19">
        <f>IF(B127="","",INDEX(Rates!$B$15:$B$42,MATCH(B127,Rates!$A$15:$A$42,0)))</f>
        <v/>
      </c>
      <c r="G127" s="20">
        <f>IF(B127="","",INDEX(Rates!$C$15:$C$42,MATCH(B127,Rates!$A$15:$A$42,0)))</f>
        <v/>
      </c>
      <c r="H127" s="14">
        <f>IF(OR(B127="",E127=""),"",E127*G127)</f>
        <v/>
      </c>
    </row>
    <row r="128">
      <c r="A128" s="10" t="n"/>
      <c r="B128" s="11" t="n"/>
      <c r="C128" s="11" t="n"/>
      <c r="D128" s="11" t="n"/>
      <c r="E128" s="18" t="n"/>
      <c r="F128" s="19">
        <f>IF(B128="","",INDEX(Rates!$B$15:$B$42,MATCH(B128,Rates!$A$15:$A$42,0)))</f>
        <v/>
      </c>
      <c r="G128" s="20">
        <f>IF(B128="","",INDEX(Rates!$C$15:$C$42,MATCH(B128,Rates!$A$15:$A$42,0)))</f>
        <v/>
      </c>
      <c r="H128" s="14">
        <f>IF(OR(B128="",E128=""),"",E128*G128)</f>
        <v/>
      </c>
    </row>
    <row r="129">
      <c r="A129" s="10" t="n"/>
      <c r="B129" s="11" t="n"/>
      <c r="C129" s="11" t="n"/>
      <c r="D129" s="11" t="n"/>
      <c r="E129" s="18" t="n"/>
      <c r="F129" s="19">
        <f>IF(B129="","",INDEX(Rates!$B$15:$B$42,MATCH(B129,Rates!$A$15:$A$42,0)))</f>
        <v/>
      </c>
      <c r="G129" s="20">
        <f>IF(B129="","",INDEX(Rates!$C$15:$C$42,MATCH(B129,Rates!$A$15:$A$42,0)))</f>
        <v/>
      </c>
      <c r="H129" s="14">
        <f>IF(OR(B129="",E129=""),"",E129*G129)</f>
        <v/>
      </c>
    </row>
    <row r="130">
      <c r="A130" s="10" t="n"/>
      <c r="B130" s="11" t="n"/>
      <c r="C130" s="11" t="n"/>
      <c r="D130" s="11" t="n"/>
      <c r="E130" s="18" t="n"/>
      <c r="F130" s="19">
        <f>IF(B130="","",INDEX(Rates!$B$15:$B$42,MATCH(B130,Rates!$A$15:$A$42,0)))</f>
        <v/>
      </c>
      <c r="G130" s="20">
        <f>IF(B130="","",INDEX(Rates!$C$15:$C$42,MATCH(B130,Rates!$A$15:$A$42,0)))</f>
        <v/>
      </c>
      <c r="H130" s="14">
        <f>IF(OR(B130="",E130=""),"",E130*G130)</f>
        <v/>
      </c>
    </row>
    <row r="131">
      <c r="A131" s="10" t="n"/>
      <c r="B131" s="11" t="n"/>
      <c r="C131" s="11" t="n"/>
      <c r="D131" s="11" t="n"/>
      <c r="E131" s="18" t="n"/>
      <c r="F131" s="19">
        <f>IF(B131="","",INDEX(Rates!$B$15:$B$42,MATCH(B131,Rates!$A$15:$A$42,0)))</f>
        <v/>
      </c>
      <c r="G131" s="20">
        <f>IF(B131="","",INDEX(Rates!$C$15:$C$42,MATCH(B131,Rates!$A$15:$A$42,0)))</f>
        <v/>
      </c>
      <c r="H131" s="14">
        <f>IF(OR(B131="",E131=""),"",E131*G131)</f>
        <v/>
      </c>
    </row>
    <row r="132">
      <c r="A132" s="10" t="n"/>
      <c r="B132" s="11" t="n"/>
      <c r="C132" s="11" t="n"/>
      <c r="D132" s="11" t="n"/>
      <c r="E132" s="18" t="n"/>
      <c r="F132" s="19">
        <f>IF(B132="","",INDEX(Rates!$B$15:$B$42,MATCH(B132,Rates!$A$15:$A$42,0)))</f>
        <v/>
      </c>
      <c r="G132" s="20">
        <f>IF(B132="","",INDEX(Rates!$C$15:$C$42,MATCH(B132,Rates!$A$15:$A$42,0)))</f>
        <v/>
      </c>
      <c r="H132" s="14">
        <f>IF(OR(B132="",E132=""),"",E132*G132)</f>
        <v/>
      </c>
    </row>
    <row r="133">
      <c r="A133" s="10" t="n"/>
      <c r="B133" s="11" t="n"/>
      <c r="C133" s="11" t="n"/>
      <c r="D133" s="11" t="n"/>
      <c r="E133" s="18" t="n"/>
      <c r="F133" s="19">
        <f>IF(B133="","",INDEX(Rates!$B$15:$B$42,MATCH(B133,Rates!$A$15:$A$42,0)))</f>
        <v/>
      </c>
      <c r="G133" s="20">
        <f>IF(B133="","",INDEX(Rates!$C$15:$C$42,MATCH(B133,Rates!$A$15:$A$42,0)))</f>
        <v/>
      </c>
      <c r="H133" s="14">
        <f>IF(OR(B133="",E133=""),"",E133*G133)</f>
        <v/>
      </c>
    </row>
    <row r="134">
      <c r="A134" s="10" t="n"/>
      <c r="B134" s="11" t="n"/>
      <c r="C134" s="11" t="n"/>
      <c r="D134" s="11" t="n"/>
      <c r="E134" s="18" t="n"/>
      <c r="F134" s="19">
        <f>IF(B134="","",INDEX(Rates!$B$15:$B$42,MATCH(B134,Rates!$A$15:$A$42,0)))</f>
        <v/>
      </c>
      <c r="G134" s="20">
        <f>IF(B134="","",INDEX(Rates!$C$15:$C$42,MATCH(B134,Rates!$A$15:$A$42,0)))</f>
        <v/>
      </c>
      <c r="H134" s="14">
        <f>IF(OR(B134="",E134=""),"",E134*G134)</f>
        <v/>
      </c>
    </row>
    <row r="135">
      <c r="A135" s="10" t="n"/>
      <c r="B135" s="11" t="n"/>
      <c r="C135" s="11" t="n"/>
      <c r="D135" s="11" t="n"/>
      <c r="E135" s="18" t="n"/>
      <c r="F135" s="19">
        <f>IF(B135="","",INDEX(Rates!$B$15:$B$42,MATCH(B135,Rates!$A$15:$A$42,0)))</f>
        <v/>
      </c>
      <c r="G135" s="20">
        <f>IF(B135="","",INDEX(Rates!$C$15:$C$42,MATCH(B135,Rates!$A$15:$A$42,0)))</f>
        <v/>
      </c>
      <c r="H135" s="14">
        <f>IF(OR(B135="",E135=""),"",E135*G135)</f>
        <v/>
      </c>
    </row>
    <row r="136">
      <c r="A136" s="10" t="n"/>
      <c r="B136" s="11" t="n"/>
      <c r="C136" s="11" t="n"/>
      <c r="D136" s="11" t="n"/>
      <c r="E136" s="18" t="n"/>
      <c r="F136" s="19">
        <f>IF(B136="","",INDEX(Rates!$B$15:$B$42,MATCH(B136,Rates!$A$15:$A$42,0)))</f>
        <v/>
      </c>
      <c r="G136" s="20">
        <f>IF(B136="","",INDEX(Rates!$C$15:$C$42,MATCH(B136,Rates!$A$15:$A$42,0)))</f>
        <v/>
      </c>
      <c r="H136" s="14">
        <f>IF(OR(B136="",E136=""),"",E136*G136)</f>
        <v/>
      </c>
    </row>
    <row r="137">
      <c r="A137" s="10" t="n"/>
      <c r="B137" s="11" t="n"/>
      <c r="C137" s="11" t="n"/>
      <c r="D137" s="11" t="n"/>
      <c r="E137" s="18" t="n"/>
      <c r="F137" s="19">
        <f>IF(B137="","",INDEX(Rates!$B$15:$B$42,MATCH(B137,Rates!$A$15:$A$42,0)))</f>
        <v/>
      </c>
      <c r="G137" s="20">
        <f>IF(B137="","",INDEX(Rates!$C$15:$C$42,MATCH(B137,Rates!$A$15:$A$42,0)))</f>
        <v/>
      </c>
      <c r="H137" s="14">
        <f>IF(OR(B137="",E137=""),"",E137*G137)</f>
        <v/>
      </c>
    </row>
    <row r="138">
      <c r="A138" s="10" t="n"/>
      <c r="B138" s="11" t="n"/>
      <c r="C138" s="11" t="n"/>
      <c r="D138" s="11" t="n"/>
      <c r="E138" s="18" t="n"/>
      <c r="F138" s="19">
        <f>IF(B138="","",INDEX(Rates!$B$15:$B$42,MATCH(B138,Rates!$A$15:$A$42,0)))</f>
        <v/>
      </c>
      <c r="G138" s="20">
        <f>IF(B138="","",INDEX(Rates!$C$15:$C$42,MATCH(B138,Rates!$A$15:$A$42,0)))</f>
        <v/>
      </c>
      <c r="H138" s="14">
        <f>IF(OR(B138="",E138=""),"",E138*G138)</f>
        <v/>
      </c>
    </row>
    <row r="139">
      <c r="A139" s="10" t="n"/>
      <c r="B139" s="11" t="n"/>
      <c r="C139" s="11" t="n"/>
      <c r="D139" s="11" t="n"/>
      <c r="E139" s="18" t="n"/>
      <c r="F139" s="19">
        <f>IF(B139="","",INDEX(Rates!$B$15:$B$42,MATCH(B139,Rates!$A$15:$A$42,0)))</f>
        <v/>
      </c>
      <c r="G139" s="20">
        <f>IF(B139="","",INDEX(Rates!$C$15:$C$42,MATCH(B139,Rates!$A$15:$A$42,0)))</f>
        <v/>
      </c>
      <c r="H139" s="14">
        <f>IF(OR(B139="",E139=""),"",E139*G139)</f>
        <v/>
      </c>
    </row>
    <row r="140">
      <c r="A140" s="10" t="n"/>
      <c r="B140" s="11" t="n"/>
      <c r="C140" s="11" t="n"/>
      <c r="D140" s="11" t="n"/>
      <c r="E140" s="18" t="n"/>
      <c r="F140" s="19">
        <f>IF(B140="","",INDEX(Rates!$B$15:$B$42,MATCH(B140,Rates!$A$15:$A$42,0)))</f>
        <v/>
      </c>
      <c r="G140" s="20">
        <f>IF(B140="","",INDEX(Rates!$C$15:$C$42,MATCH(B140,Rates!$A$15:$A$42,0)))</f>
        <v/>
      </c>
      <c r="H140" s="14">
        <f>IF(OR(B140="",E140=""),"",E140*G140)</f>
        <v/>
      </c>
    </row>
    <row r="141">
      <c r="A141" s="10" t="n"/>
      <c r="B141" s="11" t="n"/>
      <c r="C141" s="11" t="n"/>
      <c r="D141" s="11" t="n"/>
      <c r="E141" s="18" t="n"/>
      <c r="F141" s="19">
        <f>IF(B141="","",INDEX(Rates!$B$15:$B$42,MATCH(B141,Rates!$A$15:$A$42,0)))</f>
        <v/>
      </c>
      <c r="G141" s="20">
        <f>IF(B141="","",INDEX(Rates!$C$15:$C$42,MATCH(B141,Rates!$A$15:$A$42,0)))</f>
        <v/>
      </c>
      <c r="H141" s="14">
        <f>IF(OR(B141="",E141=""),"",E141*G141)</f>
        <v/>
      </c>
    </row>
    <row r="142">
      <c r="A142" s="10" t="n"/>
      <c r="B142" s="11" t="n"/>
      <c r="C142" s="11" t="n"/>
      <c r="D142" s="11" t="n"/>
      <c r="E142" s="18" t="n"/>
      <c r="F142" s="19">
        <f>IF(B142="","",INDEX(Rates!$B$15:$B$42,MATCH(B142,Rates!$A$15:$A$42,0)))</f>
        <v/>
      </c>
      <c r="G142" s="20">
        <f>IF(B142="","",INDEX(Rates!$C$15:$C$42,MATCH(B142,Rates!$A$15:$A$42,0)))</f>
        <v/>
      </c>
      <c r="H142" s="14">
        <f>IF(OR(B142="",E142=""),"",E142*G142)</f>
        <v/>
      </c>
    </row>
    <row r="143">
      <c r="A143" s="10" t="n"/>
      <c r="B143" s="11" t="n"/>
      <c r="C143" s="11" t="n"/>
      <c r="D143" s="11" t="n"/>
      <c r="E143" s="18" t="n"/>
      <c r="F143" s="19">
        <f>IF(B143="","",INDEX(Rates!$B$15:$B$42,MATCH(B143,Rates!$A$15:$A$42,0)))</f>
        <v/>
      </c>
      <c r="G143" s="20">
        <f>IF(B143="","",INDEX(Rates!$C$15:$C$42,MATCH(B143,Rates!$A$15:$A$42,0)))</f>
        <v/>
      </c>
      <c r="H143" s="14">
        <f>IF(OR(B143="",E143=""),"",E143*G143)</f>
        <v/>
      </c>
    </row>
    <row r="144">
      <c r="A144" s="10" t="n"/>
      <c r="B144" s="11" t="n"/>
      <c r="C144" s="11" t="n"/>
      <c r="D144" s="11" t="n"/>
      <c r="E144" s="18" t="n"/>
      <c r="F144" s="19">
        <f>IF(B144="","",INDEX(Rates!$B$15:$B$42,MATCH(B144,Rates!$A$15:$A$42,0)))</f>
        <v/>
      </c>
      <c r="G144" s="20">
        <f>IF(B144="","",INDEX(Rates!$C$15:$C$42,MATCH(B144,Rates!$A$15:$A$42,0)))</f>
        <v/>
      </c>
      <c r="H144" s="14">
        <f>IF(OR(B144="",E144=""),"",E144*G144)</f>
        <v/>
      </c>
    </row>
    <row r="145">
      <c r="A145" s="10" t="n"/>
      <c r="B145" s="11" t="n"/>
      <c r="C145" s="11" t="n"/>
      <c r="D145" s="11" t="n"/>
      <c r="E145" s="18" t="n"/>
      <c r="F145" s="19">
        <f>IF(B145="","",INDEX(Rates!$B$15:$B$42,MATCH(B145,Rates!$A$15:$A$42,0)))</f>
        <v/>
      </c>
      <c r="G145" s="20">
        <f>IF(B145="","",INDEX(Rates!$C$15:$C$42,MATCH(B145,Rates!$A$15:$A$42,0)))</f>
        <v/>
      </c>
      <c r="H145" s="14">
        <f>IF(OR(B145="",E145=""),"",E145*G145)</f>
        <v/>
      </c>
    </row>
    <row r="146">
      <c r="A146" s="10" t="n"/>
      <c r="B146" s="11" t="n"/>
      <c r="C146" s="11" t="n"/>
      <c r="D146" s="11" t="n"/>
      <c r="E146" s="18" t="n"/>
      <c r="F146" s="19">
        <f>IF(B146="","",INDEX(Rates!$B$15:$B$42,MATCH(B146,Rates!$A$15:$A$42,0)))</f>
        <v/>
      </c>
      <c r="G146" s="20">
        <f>IF(B146="","",INDEX(Rates!$C$15:$C$42,MATCH(B146,Rates!$A$15:$A$42,0)))</f>
        <v/>
      </c>
      <c r="H146" s="14">
        <f>IF(OR(B146="",E146=""),"",E146*G146)</f>
        <v/>
      </c>
    </row>
    <row r="147">
      <c r="A147" s="10" t="n"/>
      <c r="B147" s="11" t="n"/>
      <c r="C147" s="11" t="n"/>
      <c r="D147" s="11" t="n"/>
      <c r="E147" s="18" t="n"/>
      <c r="F147" s="19">
        <f>IF(B147="","",INDEX(Rates!$B$15:$B$42,MATCH(B147,Rates!$A$15:$A$42,0)))</f>
        <v/>
      </c>
      <c r="G147" s="20">
        <f>IF(B147="","",INDEX(Rates!$C$15:$C$42,MATCH(B147,Rates!$A$15:$A$42,0)))</f>
        <v/>
      </c>
      <c r="H147" s="14">
        <f>IF(OR(B147="",E147=""),"",E147*G147)</f>
        <v/>
      </c>
    </row>
    <row r="148">
      <c r="A148" s="10" t="n"/>
      <c r="B148" s="11" t="n"/>
      <c r="C148" s="11" t="n"/>
      <c r="D148" s="11" t="n"/>
      <c r="E148" s="18" t="n"/>
      <c r="F148" s="19">
        <f>IF(B148="","",INDEX(Rates!$B$15:$B$42,MATCH(B148,Rates!$A$15:$A$42,0)))</f>
        <v/>
      </c>
      <c r="G148" s="20">
        <f>IF(B148="","",INDEX(Rates!$C$15:$C$42,MATCH(B148,Rates!$A$15:$A$42,0)))</f>
        <v/>
      </c>
      <c r="H148" s="14">
        <f>IF(OR(B148="",E148=""),"",E148*G148)</f>
        <v/>
      </c>
    </row>
    <row r="149">
      <c r="A149" s="10" t="n"/>
      <c r="B149" s="11" t="n"/>
      <c r="C149" s="11" t="n"/>
      <c r="D149" s="11" t="n"/>
      <c r="E149" s="18" t="n"/>
      <c r="F149" s="19">
        <f>IF(B149="","",INDEX(Rates!$B$15:$B$42,MATCH(B149,Rates!$A$15:$A$42,0)))</f>
        <v/>
      </c>
      <c r="G149" s="20">
        <f>IF(B149="","",INDEX(Rates!$C$15:$C$42,MATCH(B149,Rates!$A$15:$A$42,0)))</f>
        <v/>
      </c>
      <c r="H149" s="14">
        <f>IF(OR(B149="",E149=""),"",E149*G149)</f>
        <v/>
      </c>
    </row>
    <row r="150">
      <c r="A150" s="10" t="n"/>
      <c r="B150" s="11" t="n"/>
      <c r="C150" s="11" t="n"/>
      <c r="D150" s="11" t="n"/>
      <c r="E150" s="18" t="n"/>
      <c r="F150" s="19">
        <f>IF(B150="","",INDEX(Rates!$B$15:$B$42,MATCH(B150,Rates!$A$15:$A$42,0)))</f>
        <v/>
      </c>
      <c r="G150" s="20">
        <f>IF(B150="","",INDEX(Rates!$C$15:$C$42,MATCH(B150,Rates!$A$15:$A$42,0)))</f>
        <v/>
      </c>
      <c r="H150" s="14">
        <f>IF(OR(B150="",E150=""),"",E150*G150)</f>
        <v/>
      </c>
    </row>
    <row r="151">
      <c r="A151" s="10" t="n"/>
      <c r="B151" s="11" t="n"/>
      <c r="C151" s="11" t="n"/>
      <c r="D151" s="11" t="n"/>
      <c r="E151" s="18" t="n"/>
      <c r="F151" s="19">
        <f>IF(B151="","",INDEX(Rates!$B$15:$B$42,MATCH(B151,Rates!$A$15:$A$42,0)))</f>
        <v/>
      </c>
      <c r="G151" s="20">
        <f>IF(B151="","",INDEX(Rates!$C$15:$C$42,MATCH(B151,Rates!$A$15:$A$42,0)))</f>
        <v/>
      </c>
      <c r="H151" s="14">
        <f>IF(OR(B151="",E151=""),"",E151*G151)</f>
        <v/>
      </c>
    </row>
    <row r="152">
      <c r="A152" s="10" t="n"/>
      <c r="B152" s="11" t="n"/>
      <c r="C152" s="11" t="n"/>
      <c r="D152" s="11" t="n"/>
      <c r="E152" s="18" t="n"/>
      <c r="F152" s="19">
        <f>IF(B152="","",INDEX(Rates!$B$15:$B$42,MATCH(B152,Rates!$A$15:$A$42,0)))</f>
        <v/>
      </c>
      <c r="G152" s="20">
        <f>IF(B152="","",INDEX(Rates!$C$15:$C$42,MATCH(B152,Rates!$A$15:$A$42,0)))</f>
        <v/>
      </c>
      <c r="H152" s="14">
        <f>IF(OR(B152="",E152=""),"",E152*G152)</f>
        <v/>
      </c>
    </row>
    <row r="153">
      <c r="A153" s="10" t="n"/>
      <c r="B153" s="11" t="n"/>
      <c r="C153" s="11" t="n"/>
      <c r="D153" s="11" t="n"/>
      <c r="E153" s="18" t="n"/>
      <c r="F153" s="19">
        <f>IF(B153="","",INDEX(Rates!$B$15:$B$42,MATCH(B153,Rates!$A$15:$A$42,0)))</f>
        <v/>
      </c>
      <c r="G153" s="20">
        <f>IF(B153="","",INDEX(Rates!$C$15:$C$42,MATCH(B153,Rates!$A$15:$A$42,0)))</f>
        <v/>
      </c>
      <c r="H153" s="14">
        <f>IF(OR(B153="",E153=""),"",E153*G153)</f>
        <v/>
      </c>
    </row>
    <row r="154">
      <c r="A154" s="10" t="n"/>
      <c r="B154" s="11" t="n"/>
      <c r="C154" s="11" t="n"/>
      <c r="D154" s="11" t="n"/>
      <c r="E154" s="18" t="n"/>
      <c r="F154" s="19">
        <f>IF(B154="","",INDEX(Rates!$B$15:$B$42,MATCH(B154,Rates!$A$15:$A$42,0)))</f>
        <v/>
      </c>
      <c r="G154" s="20">
        <f>IF(B154="","",INDEX(Rates!$C$15:$C$42,MATCH(B154,Rates!$A$15:$A$42,0)))</f>
        <v/>
      </c>
      <c r="H154" s="14">
        <f>IF(OR(B154="",E154=""),"",E154*G154)</f>
        <v/>
      </c>
    </row>
    <row r="155">
      <c r="A155" s="10" t="n"/>
      <c r="B155" s="11" t="n"/>
      <c r="C155" s="11" t="n"/>
      <c r="D155" s="11" t="n"/>
      <c r="E155" s="18" t="n"/>
      <c r="F155" s="19">
        <f>IF(B155="","",INDEX(Rates!$B$15:$B$42,MATCH(B155,Rates!$A$15:$A$42,0)))</f>
        <v/>
      </c>
      <c r="G155" s="20">
        <f>IF(B155="","",INDEX(Rates!$C$15:$C$42,MATCH(B155,Rates!$A$15:$A$42,0)))</f>
        <v/>
      </c>
      <c r="H155" s="14">
        <f>IF(OR(B155="",E155=""),"",E155*G155)</f>
        <v/>
      </c>
    </row>
    <row r="156">
      <c r="A156" s="10" t="n"/>
      <c r="B156" s="11" t="n"/>
      <c r="C156" s="11" t="n"/>
      <c r="D156" s="11" t="n"/>
      <c r="E156" s="18" t="n"/>
      <c r="F156" s="19">
        <f>IF(B156="","",INDEX(Rates!$B$15:$B$42,MATCH(B156,Rates!$A$15:$A$42,0)))</f>
        <v/>
      </c>
      <c r="G156" s="20">
        <f>IF(B156="","",INDEX(Rates!$C$15:$C$42,MATCH(B156,Rates!$A$15:$A$42,0)))</f>
        <v/>
      </c>
      <c r="H156" s="14">
        <f>IF(OR(B156="",E156=""),"",E156*G156)</f>
        <v/>
      </c>
    </row>
    <row r="157">
      <c r="A157" s="10" t="n"/>
      <c r="B157" s="11" t="n"/>
      <c r="C157" s="11" t="n"/>
      <c r="D157" s="11" t="n"/>
      <c r="E157" s="18" t="n"/>
      <c r="F157" s="19">
        <f>IF(B157="","",INDEX(Rates!$B$15:$B$42,MATCH(B157,Rates!$A$15:$A$42,0)))</f>
        <v/>
      </c>
      <c r="G157" s="20">
        <f>IF(B157="","",INDEX(Rates!$C$15:$C$42,MATCH(B157,Rates!$A$15:$A$42,0)))</f>
        <v/>
      </c>
      <c r="H157" s="14">
        <f>IF(OR(B157="",E157=""),"",E157*G157)</f>
        <v/>
      </c>
    </row>
    <row r="158">
      <c r="A158" s="10" t="n"/>
      <c r="B158" s="11" t="n"/>
      <c r="C158" s="11" t="n"/>
      <c r="D158" s="11" t="n"/>
      <c r="E158" s="18" t="n"/>
      <c r="F158" s="19">
        <f>IF(B158="","",INDEX(Rates!$B$15:$B$42,MATCH(B158,Rates!$A$15:$A$42,0)))</f>
        <v/>
      </c>
      <c r="G158" s="20">
        <f>IF(B158="","",INDEX(Rates!$C$15:$C$42,MATCH(B158,Rates!$A$15:$A$42,0)))</f>
        <v/>
      </c>
      <c r="H158" s="14">
        <f>IF(OR(B158="",E158=""),"",E158*G158)</f>
        <v/>
      </c>
    </row>
    <row r="159">
      <c r="A159" s="10" t="n"/>
      <c r="B159" s="11" t="n"/>
      <c r="C159" s="11" t="n"/>
      <c r="D159" s="11" t="n"/>
      <c r="E159" s="18" t="n"/>
      <c r="F159" s="19">
        <f>IF(B159="","",INDEX(Rates!$B$15:$B$42,MATCH(B159,Rates!$A$15:$A$42,0)))</f>
        <v/>
      </c>
      <c r="G159" s="20">
        <f>IF(B159="","",INDEX(Rates!$C$15:$C$42,MATCH(B159,Rates!$A$15:$A$42,0)))</f>
        <v/>
      </c>
      <c r="H159" s="14">
        <f>IF(OR(B159="",E159=""),"",E159*G159)</f>
        <v/>
      </c>
    </row>
    <row r="160">
      <c r="A160" s="10" t="n"/>
      <c r="B160" s="11" t="n"/>
      <c r="C160" s="11" t="n"/>
      <c r="D160" s="11" t="n"/>
      <c r="E160" s="18" t="n"/>
      <c r="F160" s="19">
        <f>IF(B160="","",INDEX(Rates!$B$15:$B$42,MATCH(B160,Rates!$A$15:$A$42,0)))</f>
        <v/>
      </c>
      <c r="G160" s="20">
        <f>IF(B160="","",INDEX(Rates!$C$15:$C$42,MATCH(B160,Rates!$A$15:$A$42,0)))</f>
        <v/>
      </c>
      <c r="H160" s="14">
        <f>IF(OR(B160="",E160=""),"",E160*G160)</f>
        <v/>
      </c>
    </row>
    <row r="161">
      <c r="A161" s="10" t="n"/>
      <c r="B161" s="11" t="n"/>
      <c r="C161" s="11" t="n"/>
      <c r="D161" s="11" t="n"/>
      <c r="E161" s="18" t="n"/>
      <c r="F161" s="19">
        <f>IF(B161="","",INDEX(Rates!$B$15:$B$42,MATCH(B161,Rates!$A$15:$A$42,0)))</f>
        <v/>
      </c>
      <c r="G161" s="20">
        <f>IF(B161="","",INDEX(Rates!$C$15:$C$42,MATCH(B161,Rates!$A$15:$A$42,0)))</f>
        <v/>
      </c>
      <c r="H161" s="14">
        <f>IF(OR(B161="",E161=""),"",E161*G161)</f>
        <v/>
      </c>
    </row>
    <row r="162">
      <c r="A162" s="10" t="n"/>
      <c r="B162" s="11" t="n"/>
      <c r="C162" s="11" t="n"/>
      <c r="D162" s="11" t="n"/>
      <c r="E162" s="18" t="n"/>
      <c r="F162" s="19">
        <f>IF(B162="","",INDEX(Rates!$B$15:$B$42,MATCH(B162,Rates!$A$15:$A$42,0)))</f>
        <v/>
      </c>
      <c r="G162" s="20">
        <f>IF(B162="","",INDEX(Rates!$C$15:$C$42,MATCH(B162,Rates!$A$15:$A$42,0)))</f>
        <v/>
      </c>
      <c r="H162" s="14">
        <f>IF(OR(B162="",E162=""),"",E162*G162)</f>
        <v/>
      </c>
    </row>
    <row r="163">
      <c r="A163" s="10" t="n"/>
      <c r="B163" s="11" t="n"/>
      <c r="C163" s="11" t="n"/>
      <c r="D163" s="11" t="n"/>
      <c r="E163" s="18" t="n"/>
      <c r="F163" s="19">
        <f>IF(B163="","",INDEX(Rates!$B$15:$B$42,MATCH(B163,Rates!$A$15:$A$42,0)))</f>
        <v/>
      </c>
      <c r="G163" s="20">
        <f>IF(B163="","",INDEX(Rates!$C$15:$C$42,MATCH(B163,Rates!$A$15:$A$42,0)))</f>
        <v/>
      </c>
      <c r="H163" s="14">
        <f>IF(OR(B163="",E163=""),"",E163*G163)</f>
        <v/>
      </c>
    </row>
    <row r="164">
      <c r="A164" s="10" t="n"/>
      <c r="B164" s="11" t="n"/>
      <c r="C164" s="11" t="n"/>
      <c r="D164" s="11" t="n"/>
      <c r="E164" s="18" t="n"/>
      <c r="F164" s="19">
        <f>IF(B164="","",INDEX(Rates!$B$15:$B$42,MATCH(B164,Rates!$A$15:$A$42,0)))</f>
        <v/>
      </c>
      <c r="G164" s="20">
        <f>IF(B164="","",INDEX(Rates!$C$15:$C$42,MATCH(B164,Rates!$A$15:$A$42,0)))</f>
        <v/>
      </c>
      <c r="H164" s="14">
        <f>IF(OR(B164="",E164=""),"",E164*G164)</f>
        <v/>
      </c>
    </row>
    <row r="165">
      <c r="A165" s="10" t="n"/>
      <c r="B165" s="11" t="n"/>
      <c r="C165" s="11" t="n"/>
      <c r="D165" s="11" t="n"/>
      <c r="E165" s="18" t="n"/>
      <c r="F165" s="19">
        <f>IF(B165="","",INDEX(Rates!$B$15:$B$42,MATCH(B165,Rates!$A$15:$A$42,0)))</f>
        <v/>
      </c>
      <c r="G165" s="20">
        <f>IF(B165="","",INDEX(Rates!$C$15:$C$42,MATCH(B165,Rates!$A$15:$A$42,0)))</f>
        <v/>
      </c>
      <c r="H165" s="14">
        <f>IF(OR(B165="",E165=""),"",E165*G165)</f>
        <v/>
      </c>
    </row>
    <row r="166">
      <c r="A166" s="10" t="n"/>
      <c r="B166" s="11" t="n"/>
      <c r="C166" s="11" t="n"/>
      <c r="D166" s="11" t="n"/>
      <c r="E166" s="18" t="n"/>
      <c r="F166" s="19">
        <f>IF(B166="","",INDEX(Rates!$B$15:$B$42,MATCH(B166,Rates!$A$15:$A$42,0)))</f>
        <v/>
      </c>
      <c r="G166" s="20">
        <f>IF(B166="","",INDEX(Rates!$C$15:$C$42,MATCH(B166,Rates!$A$15:$A$42,0)))</f>
        <v/>
      </c>
      <c r="H166" s="14">
        <f>IF(OR(B166="",E166=""),"",E166*G166)</f>
        <v/>
      </c>
    </row>
    <row r="167">
      <c r="A167" s="10" t="n"/>
      <c r="B167" s="11" t="n"/>
      <c r="C167" s="11" t="n"/>
      <c r="D167" s="11" t="n"/>
      <c r="E167" s="18" t="n"/>
      <c r="F167" s="19">
        <f>IF(B167="","",INDEX(Rates!$B$15:$B$42,MATCH(B167,Rates!$A$15:$A$42,0)))</f>
        <v/>
      </c>
      <c r="G167" s="20">
        <f>IF(B167="","",INDEX(Rates!$C$15:$C$42,MATCH(B167,Rates!$A$15:$A$42,0)))</f>
        <v/>
      </c>
      <c r="H167" s="14">
        <f>IF(OR(B167="",E167=""),"",E167*G167)</f>
        <v/>
      </c>
    </row>
    <row r="168">
      <c r="A168" s="10" t="n"/>
      <c r="B168" s="11" t="n"/>
      <c r="C168" s="11" t="n"/>
      <c r="D168" s="11" t="n"/>
      <c r="E168" s="18" t="n"/>
      <c r="F168" s="19">
        <f>IF(B168="","",INDEX(Rates!$B$15:$B$42,MATCH(B168,Rates!$A$15:$A$42,0)))</f>
        <v/>
      </c>
      <c r="G168" s="20">
        <f>IF(B168="","",INDEX(Rates!$C$15:$C$42,MATCH(B168,Rates!$A$15:$A$42,0)))</f>
        <v/>
      </c>
      <c r="H168" s="14">
        <f>IF(OR(B168="",E168=""),"",E168*G168)</f>
        <v/>
      </c>
    </row>
    <row r="169">
      <c r="A169" s="10" t="n"/>
      <c r="B169" s="11" t="n"/>
      <c r="C169" s="11" t="n"/>
      <c r="D169" s="11" t="n"/>
      <c r="E169" s="18" t="n"/>
      <c r="F169" s="19">
        <f>IF(B169="","",INDEX(Rates!$B$15:$B$42,MATCH(B169,Rates!$A$15:$A$42,0)))</f>
        <v/>
      </c>
      <c r="G169" s="20">
        <f>IF(B169="","",INDEX(Rates!$C$15:$C$42,MATCH(B169,Rates!$A$15:$A$42,0)))</f>
        <v/>
      </c>
      <c r="H169" s="14">
        <f>IF(OR(B169="",E169=""),"",E169*G169)</f>
        <v/>
      </c>
    </row>
    <row r="170">
      <c r="A170" s="10" t="n"/>
      <c r="B170" s="11" t="n"/>
      <c r="C170" s="11" t="n"/>
      <c r="D170" s="11" t="n"/>
      <c r="E170" s="18" t="n"/>
      <c r="F170" s="19">
        <f>IF(B170="","",INDEX(Rates!$B$15:$B$42,MATCH(B170,Rates!$A$15:$A$42,0)))</f>
        <v/>
      </c>
      <c r="G170" s="20">
        <f>IF(B170="","",INDEX(Rates!$C$15:$C$42,MATCH(B170,Rates!$A$15:$A$42,0)))</f>
        <v/>
      </c>
      <c r="H170" s="14">
        <f>IF(OR(B170="",E170=""),"",E170*G170)</f>
        <v/>
      </c>
    </row>
    <row r="171">
      <c r="A171" s="10" t="n"/>
      <c r="B171" s="11" t="n"/>
      <c r="C171" s="11" t="n"/>
      <c r="D171" s="11" t="n"/>
      <c r="E171" s="18" t="n"/>
      <c r="F171" s="19">
        <f>IF(B171="","",INDEX(Rates!$B$15:$B$42,MATCH(B171,Rates!$A$15:$A$42,0)))</f>
        <v/>
      </c>
      <c r="G171" s="20">
        <f>IF(B171="","",INDEX(Rates!$C$15:$C$42,MATCH(B171,Rates!$A$15:$A$42,0)))</f>
        <v/>
      </c>
      <c r="H171" s="14">
        <f>IF(OR(B171="",E171=""),"",E171*G171)</f>
        <v/>
      </c>
    </row>
    <row r="172">
      <c r="A172" s="10" t="n"/>
      <c r="B172" s="11" t="n"/>
      <c r="C172" s="11" t="n"/>
      <c r="D172" s="11" t="n"/>
      <c r="E172" s="18" t="n"/>
      <c r="F172" s="19">
        <f>IF(B172="","",INDEX(Rates!$B$15:$B$42,MATCH(B172,Rates!$A$15:$A$42,0)))</f>
        <v/>
      </c>
      <c r="G172" s="20">
        <f>IF(B172="","",INDEX(Rates!$C$15:$C$42,MATCH(B172,Rates!$A$15:$A$42,0)))</f>
        <v/>
      </c>
      <c r="H172" s="14">
        <f>IF(OR(B172="",E172=""),"",E172*G172)</f>
        <v/>
      </c>
    </row>
    <row r="173">
      <c r="A173" s="10" t="n"/>
      <c r="B173" s="11" t="n"/>
      <c r="C173" s="11" t="n"/>
      <c r="D173" s="11" t="n"/>
      <c r="E173" s="18" t="n"/>
      <c r="F173" s="19">
        <f>IF(B173="","",INDEX(Rates!$B$15:$B$42,MATCH(B173,Rates!$A$15:$A$42,0)))</f>
        <v/>
      </c>
      <c r="G173" s="20">
        <f>IF(B173="","",INDEX(Rates!$C$15:$C$42,MATCH(B173,Rates!$A$15:$A$42,0)))</f>
        <v/>
      </c>
      <c r="H173" s="14">
        <f>IF(OR(B173="",E173=""),"",E173*G173)</f>
        <v/>
      </c>
    </row>
    <row r="174">
      <c r="A174" s="10" t="n"/>
      <c r="B174" s="11" t="n"/>
      <c r="C174" s="11" t="n"/>
      <c r="D174" s="11" t="n"/>
      <c r="E174" s="18" t="n"/>
      <c r="F174" s="19">
        <f>IF(B174="","",INDEX(Rates!$B$15:$B$42,MATCH(B174,Rates!$A$15:$A$42,0)))</f>
        <v/>
      </c>
      <c r="G174" s="20">
        <f>IF(B174="","",INDEX(Rates!$C$15:$C$42,MATCH(B174,Rates!$A$15:$A$42,0)))</f>
        <v/>
      </c>
      <c r="H174" s="14">
        <f>IF(OR(B174="",E174=""),"",E174*G174)</f>
        <v/>
      </c>
    </row>
    <row r="175">
      <c r="A175" s="10" t="n"/>
      <c r="B175" s="11" t="n"/>
      <c r="C175" s="11" t="n"/>
      <c r="D175" s="11" t="n"/>
      <c r="E175" s="18" t="n"/>
      <c r="F175" s="19">
        <f>IF(B175="","",INDEX(Rates!$B$15:$B$42,MATCH(B175,Rates!$A$15:$A$42,0)))</f>
        <v/>
      </c>
      <c r="G175" s="20">
        <f>IF(B175="","",INDEX(Rates!$C$15:$C$42,MATCH(B175,Rates!$A$15:$A$42,0)))</f>
        <v/>
      </c>
      <c r="H175" s="14">
        <f>IF(OR(B175="",E175=""),"",E175*G175)</f>
        <v/>
      </c>
    </row>
    <row r="176">
      <c r="A176" s="10" t="n"/>
      <c r="B176" s="11" t="n"/>
      <c r="C176" s="11" t="n"/>
      <c r="D176" s="11" t="n"/>
      <c r="E176" s="18" t="n"/>
      <c r="F176" s="19">
        <f>IF(B176="","",INDEX(Rates!$B$15:$B$42,MATCH(B176,Rates!$A$15:$A$42,0)))</f>
        <v/>
      </c>
      <c r="G176" s="20">
        <f>IF(B176="","",INDEX(Rates!$C$15:$C$42,MATCH(B176,Rates!$A$15:$A$42,0)))</f>
        <v/>
      </c>
      <c r="H176" s="14">
        <f>IF(OR(B176="",E176=""),"",E176*G176)</f>
        <v/>
      </c>
    </row>
    <row r="177">
      <c r="A177" s="10" t="n"/>
      <c r="B177" s="11" t="n"/>
      <c r="C177" s="11" t="n"/>
      <c r="D177" s="11" t="n"/>
      <c r="E177" s="18" t="n"/>
      <c r="F177" s="19">
        <f>IF(B177="","",INDEX(Rates!$B$15:$B$42,MATCH(B177,Rates!$A$15:$A$42,0)))</f>
        <v/>
      </c>
      <c r="G177" s="20">
        <f>IF(B177="","",INDEX(Rates!$C$15:$C$42,MATCH(B177,Rates!$A$15:$A$42,0)))</f>
        <v/>
      </c>
      <c r="H177" s="14">
        <f>IF(OR(B177="",E177=""),"",E177*G177)</f>
        <v/>
      </c>
    </row>
    <row r="178">
      <c r="A178" s="10" t="n"/>
      <c r="B178" s="11" t="n"/>
      <c r="C178" s="11" t="n"/>
      <c r="D178" s="11" t="n"/>
      <c r="E178" s="18" t="n"/>
      <c r="F178" s="19">
        <f>IF(B178="","",INDEX(Rates!$B$15:$B$42,MATCH(B178,Rates!$A$15:$A$42,0)))</f>
        <v/>
      </c>
      <c r="G178" s="20">
        <f>IF(B178="","",INDEX(Rates!$C$15:$C$42,MATCH(B178,Rates!$A$15:$A$42,0)))</f>
        <v/>
      </c>
      <c r="H178" s="14">
        <f>IF(OR(B178="",E178=""),"",E178*G178)</f>
        <v/>
      </c>
    </row>
    <row r="179">
      <c r="A179" s="10" t="n"/>
      <c r="B179" s="11" t="n"/>
      <c r="C179" s="11" t="n"/>
      <c r="D179" s="11" t="n"/>
      <c r="E179" s="18" t="n"/>
      <c r="F179" s="19">
        <f>IF(B179="","",INDEX(Rates!$B$15:$B$42,MATCH(B179,Rates!$A$15:$A$42,0)))</f>
        <v/>
      </c>
      <c r="G179" s="20">
        <f>IF(B179="","",INDEX(Rates!$C$15:$C$42,MATCH(B179,Rates!$A$15:$A$42,0)))</f>
        <v/>
      </c>
      <c r="H179" s="14">
        <f>IF(OR(B179="",E179=""),"",E179*G179)</f>
        <v/>
      </c>
    </row>
    <row r="180">
      <c r="A180" s="10" t="n"/>
      <c r="B180" s="11" t="n"/>
      <c r="C180" s="11" t="n"/>
      <c r="D180" s="11" t="n"/>
      <c r="E180" s="18" t="n"/>
      <c r="F180" s="19">
        <f>IF(B180="","",INDEX(Rates!$B$15:$B$42,MATCH(B180,Rates!$A$15:$A$42,0)))</f>
        <v/>
      </c>
      <c r="G180" s="20">
        <f>IF(B180="","",INDEX(Rates!$C$15:$C$42,MATCH(B180,Rates!$A$15:$A$42,0)))</f>
        <v/>
      </c>
      <c r="H180" s="14">
        <f>IF(OR(B180="",E180=""),"",E180*G180)</f>
        <v/>
      </c>
    </row>
    <row r="181">
      <c r="A181" s="10" t="n"/>
      <c r="B181" s="11" t="n"/>
      <c r="C181" s="11" t="n"/>
      <c r="D181" s="11" t="n"/>
      <c r="E181" s="18" t="n"/>
      <c r="F181" s="19">
        <f>IF(B181="","",INDEX(Rates!$B$15:$B$42,MATCH(B181,Rates!$A$15:$A$42,0)))</f>
        <v/>
      </c>
      <c r="G181" s="20">
        <f>IF(B181="","",INDEX(Rates!$C$15:$C$42,MATCH(B181,Rates!$A$15:$A$42,0)))</f>
        <v/>
      </c>
      <c r="H181" s="14">
        <f>IF(OR(B181="",E181=""),"",E181*G181)</f>
        <v/>
      </c>
    </row>
    <row r="182">
      <c r="A182" s="10" t="n"/>
      <c r="B182" s="11" t="n"/>
      <c r="C182" s="11" t="n"/>
      <c r="D182" s="11" t="n"/>
      <c r="E182" s="18" t="n"/>
      <c r="F182" s="19">
        <f>IF(B182="","",INDEX(Rates!$B$15:$B$42,MATCH(B182,Rates!$A$15:$A$42,0)))</f>
        <v/>
      </c>
      <c r="G182" s="20">
        <f>IF(B182="","",INDEX(Rates!$C$15:$C$42,MATCH(B182,Rates!$A$15:$A$42,0)))</f>
        <v/>
      </c>
      <c r="H182" s="14">
        <f>IF(OR(B182="",E182=""),"",E182*G182)</f>
        <v/>
      </c>
    </row>
    <row r="183">
      <c r="A183" s="10" t="n"/>
      <c r="B183" s="11" t="n"/>
      <c r="C183" s="11" t="n"/>
      <c r="D183" s="11" t="n"/>
      <c r="E183" s="18" t="n"/>
      <c r="F183" s="19">
        <f>IF(B183="","",INDEX(Rates!$B$15:$B$42,MATCH(B183,Rates!$A$15:$A$42,0)))</f>
        <v/>
      </c>
      <c r="G183" s="20">
        <f>IF(B183="","",INDEX(Rates!$C$15:$C$42,MATCH(B183,Rates!$A$15:$A$42,0)))</f>
        <v/>
      </c>
      <c r="H183" s="14">
        <f>IF(OR(B183="",E183=""),"",E183*G183)</f>
        <v/>
      </c>
    </row>
    <row r="184">
      <c r="A184" s="10" t="n"/>
      <c r="B184" s="11" t="n"/>
      <c r="C184" s="11" t="n"/>
      <c r="D184" s="11" t="n"/>
      <c r="E184" s="18" t="n"/>
      <c r="F184" s="19">
        <f>IF(B184="","",INDEX(Rates!$B$15:$B$42,MATCH(B184,Rates!$A$15:$A$42,0)))</f>
        <v/>
      </c>
      <c r="G184" s="20">
        <f>IF(B184="","",INDEX(Rates!$C$15:$C$42,MATCH(B184,Rates!$A$15:$A$42,0)))</f>
        <v/>
      </c>
      <c r="H184" s="14">
        <f>IF(OR(B184="",E184=""),"",E184*G184)</f>
        <v/>
      </c>
    </row>
    <row r="185">
      <c r="A185" s="10" t="n"/>
      <c r="B185" s="11" t="n"/>
      <c r="C185" s="11" t="n"/>
      <c r="D185" s="11" t="n"/>
      <c r="E185" s="18" t="n"/>
      <c r="F185" s="19">
        <f>IF(B185="","",INDEX(Rates!$B$15:$B$42,MATCH(B185,Rates!$A$15:$A$42,0)))</f>
        <v/>
      </c>
      <c r="G185" s="20">
        <f>IF(B185="","",INDEX(Rates!$C$15:$C$42,MATCH(B185,Rates!$A$15:$A$42,0)))</f>
        <v/>
      </c>
      <c r="H185" s="14">
        <f>IF(OR(B185="",E185=""),"",E185*G185)</f>
        <v/>
      </c>
    </row>
    <row r="186">
      <c r="A186" s="10" t="n"/>
      <c r="B186" s="11" t="n"/>
      <c r="C186" s="11" t="n"/>
      <c r="D186" s="11" t="n"/>
      <c r="E186" s="18" t="n"/>
      <c r="F186" s="19">
        <f>IF(B186="","",INDEX(Rates!$B$15:$B$42,MATCH(B186,Rates!$A$15:$A$42,0)))</f>
        <v/>
      </c>
      <c r="G186" s="20">
        <f>IF(B186="","",INDEX(Rates!$C$15:$C$42,MATCH(B186,Rates!$A$15:$A$42,0)))</f>
        <v/>
      </c>
      <c r="H186" s="14">
        <f>IF(OR(B186="",E186=""),"",E186*G186)</f>
        <v/>
      </c>
    </row>
    <row r="187">
      <c r="A187" s="10" t="n"/>
      <c r="B187" s="11" t="n"/>
      <c r="C187" s="11" t="n"/>
      <c r="D187" s="11" t="n"/>
      <c r="E187" s="18" t="n"/>
      <c r="F187" s="19">
        <f>IF(B187="","",INDEX(Rates!$B$15:$B$42,MATCH(B187,Rates!$A$15:$A$42,0)))</f>
        <v/>
      </c>
      <c r="G187" s="20">
        <f>IF(B187="","",INDEX(Rates!$C$15:$C$42,MATCH(B187,Rates!$A$15:$A$42,0)))</f>
        <v/>
      </c>
      <c r="H187" s="14">
        <f>IF(OR(B187="",E187=""),"",E187*G187)</f>
        <v/>
      </c>
    </row>
    <row r="188">
      <c r="A188" s="10" t="n"/>
      <c r="B188" s="11" t="n"/>
      <c r="C188" s="11" t="n"/>
      <c r="D188" s="11" t="n"/>
      <c r="E188" s="18" t="n"/>
      <c r="F188" s="19">
        <f>IF(B188="","",INDEX(Rates!$B$15:$B$42,MATCH(B188,Rates!$A$15:$A$42,0)))</f>
        <v/>
      </c>
      <c r="G188" s="20">
        <f>IF(B188="","",INDEX(Rates!$C$15:$C$42,MATCH(B188,Rates!$A$15:$A$42,0)))</f>
        <v/>
      </c>
      <c r="H188" s="14">
        <f>IF(OR(B188="",E188=""),"",E188*G188)</f>
        <v/>
      </c>
    </row>
    <row r="189">
      <c r="A189" s="10" t="n"/>
      <c r="B189" s="11" t="n"/>
      <c r="C189" s="11" t="n"/>
      <c r="D189" s="11" t="n"/>
      <c r="E189" s="18" t="n"/>
      <c r="F189" s="19">
        <f>IF(B189="","",INDEX(Rates!$B$15:$B$42,MATCH(B189,Rates!$A$15:$A$42,0)))</f>
        <v/>
      </c>
      <c r="G189" s="20">
        <f>IF(B189="","",INDEX(Rates!$C$15:$C$42,MATCH(B189,Rates!$A$15:$A$42,0)))</f>
        <v/>
      </c>
      <c r="H189" s="14">
        <f>IF(OR(B189="",E189=""),"",E189*G189)</f>
        <v/>
      </c>
    </row>
    <row r="190">
      <c r="A190" s="10" t="n"/>
      <c r="B190" s="11" t="n"/>
      <c r="C190" s="11" t="n"/>
      <c r="D190" s="11" t="n"/>
      <c r="E190" s="18" t="n"/>
      <c r="F190" s="19">
        <f>IF(B190="","",INDEX(Rates!$B$15:$B$42,MATCH(B190,Rates!$A$15:$A$42,0)))</f>
        <v/>
      </c>
      <c r="G190" s="20">
        <f>IF(B190="","",INDEX(Rates!$C$15:$C$42,MATCH(B190,Rates!$A$15:$A$42,0)))</f>
        <v/>
      </c>
      <c r="H190" s="14">
        <f>IF(OR(B190="",E190=""),"",E190*G190)</f>
        <v/>
      </c>
    </row>
    <row r="191">
      <c r="A191" s="10" t="n"/>
      <c r="B191" s="11" t="n"/>
      <c r="C191" s="11" t="n"/>
      <c r="D191" s="11" t="n"/>
      <c r="E191" s="18" t="n"/>
      <c r="F191" s="19">
        <f>IF(B191="","",INDEX(Rates!$B$15:$B$42,MATCH(B191,Rates!$A$15:$A$42,0)))</f>
        <v/>
      </c>
      <c r="G191" s="20">
        <f>IF(B191="","",INDEX(Rates!$C$15:$C$42,MATCH(B191,Rates!$A$15:$A$42,0)))</f>
        <v/>
      </c>
      <c r="H191" s="14">
        <f>IF(OR(B191="",E191=""),"",E191*G191)</f>
        <v/>
      </c>
    </row>
    <row r="192">
      <c r="A192" s="10" t="n"/>
      <c r="B192" s="11" t="n"/>
      <c r="C192" s="11" t="n"/>
      <c r="D192" s="11" t="n"/>
      <c r="E192" s="18" t="n"/>
      <c r="F192" s="19">
        <f>IF(B192="","",INDEX(Rates!$B$15:$B$42,MATCH(B192,Rates!$A$15:$A$42,0)))</f>
        <v/>
      </c>
      <c r="G192" s="20">
        <f>IF(B192="","",INDEX(Rates!$C$15:$C$42,MATCH(B192,Rates!$A$15:$A$42,0)))</f>
        <v/>
      </c>
      <c r="H192" s="14">
        <f>IF(OR(B192="",E192=""),"",E192*G192)</f>
        <v/>
      </c>
    </row>
    <row r="193">
      <c r="A193" s="10" t="n"/>
      <c r="B193" s="11" t="n"/>
      <c r="C193" s="11" t="n"/>
      <c r="D193" s="11" t="n"/>
      <c r="E193" s="18" t="n"/>
      <c r="F193" s="19">
        <f>IF(B193="","",INDEX(Rates!$B$15:$B$42,MATCH(B193,Rates!$A$15:$A$42,0)))</f>
        <v/>
      </c>
      <c r="G193" s="20">
        <f>IF(B193="","",INDEX(Rates!$C$15:$C$42,MATCH(B193,Rates!$A$15:$A$42,0)))</f>
        <v/>
      </c>
      <c r="H193" s="14">
        <f>IF(OR(B193="",E193=""),"",E193*G193)</f>
        <v/>
      </c>
    </row>
    <row r="194">
      <c r="A194" s="10" t="n"/>
      <c r="B194" s="11" t="n"/>
      <c r="C194" s="11" t="n"/>
      <c r="D194" s="11" t="n"/>
      <c r="E194" s="18" t="n"/>
      <c r="F194" s="19">
        <f>IF(B194="","",INDEX(Rates!$B$15:$B$42,MATCH(B194,Rates!$A$15:$A$42,0)))</f>
        <v/>
      </c>
      <c r="G194" s="20">
        <f>IF(B194="","",INDEX(Rates!$C$15:$C$42,MATCH(B194,Rates!$A$15:$A$42,0)))</f>
        <v/>
      </c>
      <c r="H194" s="14">
        <f>IF(OR(B194="",E194=""),"",E194*G194)</f>
        <v/>
      </c>
    </row>
    <row r="195">
      <c r="A195" s="10" t="n"/>
      <c r="B195" s="11" t="n"/>
      <c r="C195" s="11" t="n"/>
      <c r="D195" s="11" t="n"/>
      <c r="E195" s="18" t="n"/>
      <c r="F195" s="19">
        <f>IF(B195="","",INDEX(Rates!$B$15:$B$42,MATCH(B195,Rates!$A$15:$A$42,0)))</f>
        <v/>
      </c>
      <c r="G195" s="20">
        <f>IF(B195="","",INDEX(Rates!$C$15:$C$42,MATCH(B195,Rates!$A$15:$A$42,0)))</f>
        <v/>
      </c>
      <c r="H195" s="14">
        <f>IF(OR(B195="",E195=""),"",E195*G195)</f>
        <v/>
      </c>
    </row>
    <row r="196">
      <c r="A196" s="10" t="n"/>
      <c r="B196" s="11" t="n"/>
      <c r="C196" s="11" t="n"/>
      <c r="D196" s="11" t="n"/>
      <c r="E196" s="18" t="n"/>
      <c r="F196" s="19">
        <f>IF(B196="","",INDEX(Rates!$B$15:$B$42,MATCH(B196,Rates!$A$15:$A$42,0)))</f>
        <v/>
      </c>
      <c r="G196" s="20">
        <f>IF(B196="","",INDEX(Rates!$C$15:$C$42,MATCH(B196,Rates!$A$15:$A$42,0)))</f>
        <v/>
      </c>
      <c r="H196" s="14">
        <f>IF(OR(B196="",E196=""),"",E196*G196)</f>
        <v/>
      </c>
    </row>
    <row r="197">
      <c r="A197" s="10" t="n"/>
      <c r="B197" s="11" t="n"/>
      <c r="C197" s="11" t="n"/>
      <c r="D197" s="11" t="n"/>
      <c r="E197" s="18" t="n"/>
      <c r="F197" s="19">
        <f>IF(B197="","",INDEX(Rates!$B$15:$B$42,MATCH(B197,Rates!$A$15:$A$42,0)))</f>
        <v/>
      </c>
      <c r="G197" s="20">
        <f>IF(B197="","",INDEX(Rates!$C$15:$C$42,MATCH(B197,Rates!$A$15:$A$42,0)))</f>
        <v/>
      </c>
      <c r="H197" s="14">
        <f>IF(OR(B197="",E197=""),"",E197*G197)</f>
        <v/>
      </c>
    </row>
    <row r="198">
      <c r="A198" s="10" t="n"/>
      <c r="B198" s="11" t="n"/>
      <c r="C198" s="11" t="n"/>
      <c r="D198" s="11" t="n"/>
      <c r="E198" s="18" t="n"/>
      <c r="F198" s="19">
        <f>IF(B198="","",INDEX(Rates!$B$15:$B$42,MATCH(B198,Rates!$A$15:$A$42,0)))</f>
        <v/>
      </c>
      <c r="G198" s="20">
        <f>IF(B198="","",INDEX(Rates!$C$15:$C$42,MATCH(B198,Rates!$A$15:$A$42,0)))</f>
        <v/>
      </c>
      <c r="H198" s="14">
        <f>IF(OR(B198="",E198=""),"",E198*G198)</f>
        <v/>
      </c>
    </row>
    <row r="199">
      <c r="A199" s="10" t="n"/>
      <c r="B199" s="11" t="n"/>
      <c r="C199" s="11" t="n"/>
      <c r="D199" s="11" t="n"/>
      <c r="E199" s="18" t="n"/>
      <c r="F199" s="19">
        <f>IF(B199="","",INDEX(Rates!$B$15:$B$42,MATCH(B199,Rates!$A$15:$A$42,0)))</f>
        <v/>
      </c>
      <c r="G199" s="20">
        <f>IF(B199="","",INDEX(Rates!$C$15:$C$42,MATCH(B199,Rates!$A$15:$A$42,0)))</f>
        <v/>
      </c>
      <c r="H199" s="14">
        <f>IF(OR(B199="",E199=""),"",E199*G199)</f>
        <v/>
      </c>
    </row>
    <row r="200">
      <c r="A200" s="10" t="n"/>
      <c r="B200" s="11" t="n"/>
      <c r="C200" s="11" t="n"/>
      <c r="D200" s="11" t="n"/>
      <c r="E200" s="18" t="n"/>
      <c r="F200" s="19">
        <f>IF(B200="","",INDEX(Rates!$B$15:$B$42,MATCH(B200,Rates!$A$15:$A$42,0)))</f>
        <v/>
      </c>
      <c r="G200" s="20">
        <f>IF(B200="","",INDEX(Rates!$C$15:$C$42,MATCH(B200,Rates!$A$15:$A$42,0)))</f>
        <v/>
      </c>
      <c r="H200" s="14">
        <f>IF(OR(B200="",E200=""),"",E200*G200)</f>
        <v/>
      </c>
    </row>
    <row r="201">
      <c r="A201" s="10" t="n"/>
      <c r="B201" s="11" t="n"/>
      <c r="C201" s="11" t="n"/>
      <c r="D201" s="11" t="n"/>
      <c r="E201" s="18" t="n"/>
      <c r="F201" s="19">
        <f>IF(B201="","",INDEX(Rates!$B$15:$B$42,MATCH(B201,Rates!$A$15:$A$42,0)))</f>
        <v/>
      </c>
      <c r="G201" s="20">
        <f>IF(B201="","",INDEX(Rates!$C$15:$C$42,MATCH(B201,Rates!$A$15:$A$42,0)))</f>
        <v/>
      </c>
      <c r="H201" s="14">
        <f>IF(OR(B201="",E201=""),"",E201*G201)</f>
        <v/>
      </c>
    </row>
    <row r="202">
      <c r="A202" s="10" t="n"/>
      <c r="B202" s="11" t="n"/>
      <c r="C202" s="11" t="n"/>
      <c r="D202" s="11" t="n"/>
      <c r="E202" s="18" t="n"/>
      <c r="F202" s="19">
        <f>IF(B202="","",INDEX(Rates!$B$15:$B$42,MATCH(B202,Rates!$A$15:$A$42,0)))</f>
        <v/>
      </c>
      <c r="G202" s="20">
        <f>IF(B202="","",INDEX(Rates!$C$15:$C$42,MATCH(B202,Rates!$A$15:$A$42,0)))</f>
        <v/>
      </c>
      <c r="H202" s="14">
        <f>IF(OR(B202="",E202=""),"",E202*G202)</f>
        <v/>
      </c>
    </row>
    <row r="203">
      <c r="A203" s="10" t="n"/>
      <c r="B203" s="11" t="n"/>
      <c r="C203" s="11" t="n"/>
      <c r="D203" s="11" t="n"/>
      <c r="E203" s="18" t="n"/>
      <c r="F203" s="19">
        <f>IF(B203="","",INDEX(Rates!$B$15:$B$42,MATCH(B203,Rates!$A$15:$A$42,0)))</f>
        <v/>
      </c>
      <c r="G203" s="20">
        <f>IF(B203="","",INDEX(Rates!$C$15:$C$42,MATCH(B203,Rates!$A$15:$A$42,0)))</f>
        <v/>
      </c>
      <c r="H203" s="14">
        <f>IF(OR(B203="",E203=""),"",E203*G203)</f>
        <v/>
      </c>
    </row>
    <row r="204">
      <c r="A204" s="10" t="n"/>
      <c r="B204" s="11" t="n"/>
      <c r="C204" s="11" t="n"/>
      <c r="D204" s="11" t="n"/>
      <c r="E204" s="18" t="n"/>
      <c r="F204" s="19">
        <f>IF(B204="","",INDEX(Rates!$B$15:$B$42,MATCH(B204,Rates!$A$15:$A$42,0)))</f>
        <v/>
      </c>
      <c r="G204" s="20">
        <f>IF(B204="","",INDEX(Rates!$C$15:$C$42,MATCH(B204,Rates!$A$15:$A$42,0)))</f>
        <v/>
      </c>
      <c r="H204" s="14">
        <f>IF(OR(B204="",E204=""),"",E204*G204)</f>
        <v/>
      </c>
    </row>
    <row r="205">
      <c r="A205" s="10" t="n"/>
      <c r="B205" s="11" t="n"/>
      <c r="C205" s="11" t="n"/>
      <c r="D205" s="11" t="n"/>
      <c r="E205" s="18" t="n"/>
      <c r="F205" s="19">
        <f>IF(B205="","",INDEX(Rates!$B$15:$B$42,MATCH(B205,Rates!$A$15:$A$42,0)))</f>
        <v/>
      </c>
      <c r="G205" s="20">
        <f>IF(B205="","",INDEX(Rates!$C$15:$C$42,MATCH(B205,Rates!$A$15:$A$42,0)))</f>
        <v/>
      </c>
      <c r="H205" s="14">
        <f>IF(OR(B205="",E205=""),"",E205*G205)</f>
        <v/>
      </c>
    </row>
    <row r="207">
      <c r="D207" s="15" t="inlineStr">
        <is>
          <t>Totals</t>
        </is>
      </c>
      <c r="E207" s="17">
        <f>SUM(E6:E205)</f>
        <v/>
      </c>
      <c r="H207" s="17">
        <f>SUM(H6:H205)</f>
        <v/>
      </c>
    </row>
  </sheetData>
  <mergeCells count="3">
    <mergeCell ref="A3:H3"/>
    <mergeCell ref="A2:H2"/>
    <mergeCell ref="A1:H1"/>
  </mergeCells>
  <dataValidations count="1">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showDropDown="0" showInputMessage="0" showErrorMessage="0" allowBlank="1" error="Pick a category from the list (see the Rates sheet)." type="list">
      <formula1>=Rates!$A$15:$A$42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12" customWidth="1" min="2" max="2"/>
    <col width="14" customWidth="1" min="3" max="3"/>
    <col width="4" customWidth="1" min="4" max="4"/>
  </cols>
  <sheetData>
    <row r="1" ht="26" customHeight="1">
      <c r="A1" s="5" t="inlineStr">
        <is>
          <t>Summary — 2026</t>
        </is>
      </c>
    </row>
    <row r="2">
      <c r="A2" s="6" t="inlineStr">
        <is>
          <t>Totals from the Mileage and Expenses sheets. Send this workbook to Grott Luker &amp; Co. in January.</t>
        </is>
      </c>
    </row>
    <row r="3">
      <c r="A3" s="7" t="inlineStr">
        <is>
          <t>Grott Luker &amp; Co. · Client Decision Support Toolkit · platform by BlueLine Advisors</t>
        </is>
      </c>
    </row>
    <row r="5" ht="30" customHeight="1">
      <c r="A5" s="9" t="inlineStr">
        <is>
          <t>Mileage</t>
        </is>
      </c>
      <c r="B5" s="9" t="inlineStr">
        <is>
          <t>Miles</t>
        </is>
      </c>
      <c r="C5" s="9" t="inlineStr">
        <is>
          <t>Deduction</t>
        </is>
      </c>
      <c r="D5" s="9" t="inlineStr"/>
    </row>
    <row r="6">
      <c r="A6" s="19" t="inlineStr">
        <is>
          <t>Business</t>
        </is>
      </c>
      <c r="B6" s="21">
        <f>SUMIFS(Mileage!$E$6:$E$205,Mileage!$B$6:$B$205,"Business")</f>
        <v/>
      </c>
      <c r="C6" s="22">
        <f>SUMIFS(Mileage!$G$6:$G$205,Mileage!$B$6:$B$205,"Business")</f>
        <v/>
      </c>
    </row>
    <row r="7">
      <c r="A7" s="19" t="inlineStr">
        <is>
          <t>Charity</t>
        </is>
      </c>
      <c r="B7" s="21">
        <f>SUMIFS(Mileage!$E$6:$E$205,Mileage!$B$6:$B$205,"Charity")</f>
        <v/>
      </c>
      <c r="C7" s="22">
        <f>SUMIFS(Mileage!$G$6:$G$205,Mileage!$B$6:$B$205,"Charity")</f>
        <v/>
      </c>
    </row>
    <row r="8">
      <c r="A8" s="19" t="inlineStr">
        <is>
          <t>Medical</t>
        </is>
      </c>
      <c r="B8" s="21">
        <f>SUMIFS(Mileage!$E$6:$E$205,Mileage!$B$6:$B$205,"Medical")</f>
        <v/>
      </c>
      <c r="C8" s="22">
        <f>SUMIFS(Mileage!$G$6:$G$205,Mileage!$B$6:$B$205,"Medical")</f>
        <v/>
      </c>
    </row>
    <row r="9">
      <c r="A9" s="15" t="inlineStr">
        <is>
          <t>All trips</t>
        </is>
      </c>
      <c r="B9" s="16">
        <f>SUM(B6:B8)</f>
        <v/>
      </c>
      <c r="C9" s="17">
        <f>SUM(C6:C8)</f>
        <v/>
      </c>
    </row>
    <row r="11" ht="30" customHeight="1">
      <c r="A11" s="9" t="inlineStr">
        <is>
          <t>Expenses</t>
        </is>
      </c>
      <c r="B11" s="9" t="inlineStr">
        <is>
          <t>Logged</t>
        </is>
      </c>
      <c r="C11" s="9" t="inlineStr">
        <is>
          <t>Deductible</t>
        </is>
      </c>
      <c r="D11" s="9" t="inlineStr"/>
    </row>
    <row r="12">
      <c r="A12" s="19" t="inlineStr">
        <is>
          <t>Deductible</t>
        </is>
      </c>
      <c r="B12" s="22">
        <f>SUMIFS(Expenses!$E$6:$E$205,Expenses!$F$6:$F$205,"Deductible")</f>
        <v/>
      </c>
      <c r="C12" s="22">
        <f>SUMIFS(Expenses!$H$6:$H$205,Expenses!$F$6:$F$205,"Deductible")</f>
        <v/>
      </c>
    </row>
    <row r="13">
      <c r="A13" s="19" t="inlineStr">
        <is>
          <t>Partly deductible</t>
        </is>
      </c>
      <c r="B13" s="22">
        <f>SUMIFS(Expenses!$E$6:$E$205,Expenses!$F$6:$F$205,"Partly deductible")</f>
        <v/>
      </c>
      <c r="C13" s="22">
        <f>SUMIFS(Expenses!$H$6:$H$205,Expenses!$F$6:$F$205,"Partly deductible")</f>
        <v/>
      </c>
    </row>
    <row r="14">
      <c r="A14" s="19" t="inlineStr">
        <is>
          <t>For your CPA</t>
        </is>
      </c>
      <c r="B14" s="22">
        <f>SUMIFS(Expenses!$E$6:$E$205,Expenses!$F$6:$F$205,"For your CPA")</f>
        <v/>
      </c>
      <c r="C14" s="22">
        <f>SUMIFS(Expenses!$H$6:$H$205,Expenses!$F$6:$F$205,"For your CPA")</f>
        <v/>
      </c>
    </row>
    <row r="15">
      <c r="A15" s="19" t="inlineStr">
        <is>
          <t>Not deductible</t>
        </is>
      </c>
      <c r="B15" s="22">
        <f>SUMIFS(Expenses!$E$6:$E$205,Expenses!$F$6:$F$205,"Not deductible")</f>
        <v/>
      </c>
      <c r="C15" s="22">
        <f>SUMIFS(Expenses!$H$6:$H$205,Expenses!$F$6:$F$205,"Not deductible")</f>
        <v/>
      </c>
    </row>
    <row r="16">
      <c r="A16" s="15" t="inlineStr">
        <is>
          <t>All expenses</t>
        </is>
      </c>
      <c r="B16" s="17">
        <f>SUM(B12:B15)</f>
        <v/>
      </c>
      <c r="C16" s="17">
        <f>SUM(C12:C15)</f>
        <v/>
      </c>
    </row>
    <row r="18">
      <c r="A18" s="15" t="inlineStr">
        <is>
          <t>Estimated deductions, mileage + expenses</t>
        </is>
      </c>
      <c r="C18" s="23">
        <f>C9+C16</f>
        <v/>
      </c>
    </row>
    <row r="20">
      <c r="A20" s="7" t="inlineStr">
        <is>
          <t>"For your CPA" items are logged but not counted as deductible here; your CPA decides.</t>
        </is>
      </c>
    </row>
  </sheetData>
  <mergeCells count="3">
    <mergeCell ref="A1:D1"/>
    <mergeCell ref="A3:D3"/>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2"/>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4" customWidth="1" min="3" max="3"/>
    <col width="90" customWidth="1" min="4" max="4"/>
  </cols>
  <sheetData>
    <row r="1" ht="26" customHeight="1">
      <c r="A1" s="5" t="inlineStr">
        <is>
          <t>IRS standard mileage rates</t>
        </is>
      </c>
    </row>
    <row r="2">
      <c r="A2" s="6" t="inlineStr">
        <is>
          <t>Dollars per mile by effective date. The Mileage sheet picks the rate in force on each trip's date.</t>
        </is>
      </c>
    </row>
    <row r="3">
      <c r="A3" s="7" t="inlineStr">
        <is>
          <t>Grott Luker &amp; Co. · Client Decision Support Toolkit · platform by BlueLine Advisors</t>
        </is>
      </c>
    </row>
    <row r="5" ht="30" customHeight="1">
      <c r="A5" s="9" t="inlineStr">
        <is>
          <t>Effective from</t>
        </is>
      </c>
      <c r="B5" s="9" t="inlineStr">
        <is>
          <t>Business</t>
        </is>
      </c>
      <c r="C5" s="9" t="inlineStr">
        <is>
          <t>Charity</t>
        </is>
      </c>
      <c r="D5" s="9" t="inlineStr">
        <is>
          <t>Medical</t>
        </is>
      </c>
    </row>
    <row r="6">
      <c r="A6" s="24" t="n">
        <v>45292</v>
      </c>
      <c r="B6" s="13" t="n">
        <v>0.67</v>
      </c>
      <c r="C6" s="13" t="n">
        <v>0.14</v>
      </c>
      <c r="D6" s="13" t="n">
        <v>0.21</v>
      </c>
    </row>
    <row r="7">
      <c r="A7" s="24" t="n">
        <v>45658</v>
      </c>
      <c r="B7" s="13" t="n">
        <v>0.7</v>
      </c>
      <c r="C7" s="13" t="n">
        <v>0.14</v>
      </c>
      <c r="D7" s="13" t="n">
        <v>0.21</v>
      </c>
    </row>
    <row r="8">
      <c r="A8" s="24" t="n">
        <v>46023</v>
      </c>
      <c r="B8" s="13" t="n">
        <v>0.725</v>
      </c>
      <c r="C8" s="13" t="n">
        <v>0.14</v>
      </c>
      <c r="D8" s="13" t="n">
        <v>0.205</v>
      </c>
    </row>
    <row r="9">
      <c r="A9" s="24" t="n">
        <v>46204</v>
      </c>
      <c r="B9" s="13" t="n">
        <v>0.76</v>
      </c>
      <c r="C9" s="13" t="n">
        <v>0.14</v>
      </c>
      <c r="D9" s="13" t="n">
        <v>0.235</v>
      </c>
    </row>
    <row r="11">
      <c r="A11" s="7" t="inlineStr">
        <is>
          <t>Source: IRS Notice 2026-10 and IRB 2026-29 (mid-year increase effective July 1, 2026). Verify each January at irs.gov/tax-professionals/standard-mileage-rates.</t>
        </is>
      </c>
    </row>
    <row r="13">
      <c r="A13" s="15" t="inlineStr">
        <is>
          <t>Expense categories</t>
        </is>
      </c>
    </row>
    <row r="14" ht="30" customHeight="1">
      <c r="A14" s="9" t="inlineStr">
        <is>
          <t>Category</t>
        </is>
      </c>
      <c r="B14" s="9" t="inlineStr">
        <is>
          <t>Treatment</t>
        </is>
      </c>
      <c r="C14" s="9" t="inlineStr">
        <is>
          <t>Deductible share</t>
        </is>
      </c>
      <c r="D14" s="9" t="inlineStr">
        <is>
          <t>Note</t>
        </is>
      </c>
    </row>
    <row r="15">
      <c r="A15" s="25" t="inlineStr">
        <is>
          <t>Business meal</t>
        </is>
      </c>
      <c r="B15" s="25" t="inlineStr">
        <is>
          <t>Partly deductible</t>
        </is>
      </c>
      <c r="C15" s="26" t="n">
        <v>0.5</v>
      </c>
      <c r="D15" s="25" t="inlineStr">
        <is>
          <t>50% when business is discussed and you or an employee is present. Note who and what.</t>
        </is>
      </c>
    </row>
    <row r="16">
      <c r="A16" s="25" t="inlineStr">
        <is>
          <t>Entertainment</t>
        </is>
      </c>
      <c r="B16" s="25" t="inlineStr">
        <is>
          <t>Not deductible</t>
        </is>
      </c>
      <c r="C16" s="26" t="n">
        <v>0</v>
      </c>
      <c r="D16" s="25" t="inlineStr">
        <is>
          <t>Not deductible since 2018, even with clients: tickets, golf, shows.</t>
        </is>
      </c>
    </row>
    <row r="17">
      <c r="A17" s="25" t="inlineStr">
        <is>
          <t>Travel: lodging, airfare, rail, rental car</t>
        </is>
      </c>
      <c r="B17" s="25" t="inlineStr">
        <is>
          <t>Deductible</t>
        </is>
      </c>
      <c r="C17" s="26" t="n">
        <v>1</v>
      </c>
      <c r="D17" s="25" t="inlineStr">
        <is>
          <t>Overnight business travel away from your tax home. Meals on the trip go under Business meal.</t>
        </is>
      </c>
    </row>
    <row r="18">
      <c r="A18" s="25" t="inlineStr">
        <is>
          <t>Parking &amp; tolls</t>
        </is>
      </c>
      <c r="B18" s="25" t="inlineStr">
        <is>
          <t>Deductible</t>
        </is>
      </c>
      <c r="C18" s="26" t="n">
        <v>1</v>
      </c>
      <c r="D18" s="25" t="inlineStr">
        <is>
          <t>Deductible on top of the standard mileage rate. Parking at your regular workplace is commuting.</t>
        </is>
      </c>
    </row>
    <row r="19">
      <c r="A19" s="25" t="inlineStr">
        <is>
          <t>Supplies &amp; materials</t>
        </is>
      </c>
      <c r="B19" s="25" t="inlineStr">
        <is>
          <t>Deductible</t>
        </is>
      </c>
      <c r="C19" s="26" t="n">
        <v>1</v>
      </c>
      <c r="D19" s="25" t="inlineStr">
        <is>
          <t>Consumed in the work: materials, small items, office supplies, fuel for equipment.</t>
        </is>
      </c>
    </row>
    <row r="20">
      <c r="A20" s="25" t="inlineStr">
        <is>
          <t>Equipment, tools &amp; furniture</t>
        </is>
      </c>
      <c r="B20" s="25" t="inlineStr">
        <is>
          <t>For your CPA</t>
        </is>
      </c>
      <c r="C20" s="26" t="n">
        <v>0</v>
      </c>
      <c r="D20" s="25" t="inlineStr">
        <is>
          <t>Items under $2,500 each can usually be expensed under the de minimis safe harbor; larger items are depreciated or expensed under §179. Note the cost per item.</t>
        </is>
      </c>
    </row>
    <row r="21">
      <c r="A21" s="25" t="inlineStr">
        <is>
          <t>Software &amp; subscriptions</t>
        </is>
      </c>
      <c r="B21" s="25" t="inlineStr">
        <is>
          <t>Deductible</t>
        </is>
      </c>
      <c r="C21" s="26" t="n">
        <v>1</v>
      </c>
      <c r="D21" s="25" t="inlineStr">
        <is>
          <t>Business apps, cloud services, trade publications.</t>
        </is>
      </c>
    </row>
    <row r="22">
      <c r="A22" s="25" t="inlineStr">
        <is>
          <t>Phone &amp; internet</t>
        </is>
      </c>
      <c r="B22" s="25" t="inlineStr">
        <is>
          <t>For your CPA</t>
        </is>
      </c>
      <c r="C22" s="26" t="n">
        <v>0</v>
      </c>
      <c r="D22" s="25" t="inlineStr">
        <is>
          <t>Only the business-use share is deductible. Enter the full bill and note the percentage, or enter the business portion.</t>
        </is>
      </c>
    </row>
    <row r="23">
      <c r="A23" s="25" t="inlineStr">
        <is>
          <t>Home office</t>
        </is>
      </c>
      <c r="B23" s="25" t="inlineStr">
        <is>
          <t>For your CPA</t>
        </is>
      </c>
      <c r="C23" s="26" t="n">
        <v>0</v>
      </c>
      <c r="D23" s="25" t="inlineStr">
        <is>
          <t>Requires regular and exclusive business use of the space. Your CPA will compute it (simplified $5 per square foot or actual).</t>
        </is>
      </c>
    </row>
    <row r="24">
      <c r="A24" s="25" t="inlineStr">
        <is>
          <t>Utilities for business space</t>
        </is>
      </c>
      <c r="B24" s="25" t="inlineStr">
        <is>
          <t>Deductible</t>
        </is>
      </c>
      <c r="C24" s="26" t="n">
        <v>1</v>
      </c>
      <c r="D24" s="25" t="inlineStr">
        <is>
          <t>Electric, heat, water, trash for a shop, store, or office you rent or own. Home utilities belong under Home office.</t>
        </is>
      </c>
    </row>
    <row r="25">
      <c r="A25" s="25" t="inlineStr">
        <is>
          <t>Continuing education, licenses &amp; certifications</t>
        </is>
      </c>
      <c r="B25" s="25" t="inlineStr">
        <is>
          <t>Deductible</t>
        </is>
      </c>
      <c r="C25" s="26" t="n">
        <v>1</v>
      </c>
      <c r="D25" s="25" t="inlineStr">
        <is>
          <t>Maintains or improves skills in your current work. Education to qualify for a new trade is not deductible.</t>
        </is>
      </c>
    </row>
    <row r="26">
      <c r="A26" s="25" t="inlineStr">
        <is>
          <t>Professional dues &amp; memberships</t>
        </is>
      </c>
      <c r="B26" s="25" t="inlineStr">
        <is>
          <t>Deductible</t>
        </is>
      </c>
      <c r="C26" s="26" t="n">
        <v>1</v>
      </c>
      <c r="D26" s="25" t="inlineStr">
        <is>
          <t>Trade and professional organizations, unions, licensing boards. Country, athletic, and social club dues are not deductible.</t>
        </is>
      </c>
    </row>
    <row r="27">
      <c r="A27" s="25" t="inlineStr">
        <is>
          <t>Advertising &amp; marketing</t>
        </is>
      </c>
      <c r="B27" s="25" t="inlineStr">
        <is>
          <t>Deductible</t>
        </is>
      </c>
      <c r="C27" s="26" t="n">
        <v>1</v>
      </c>
      <c r="D27" s="25" t="inlineStr">
        <is>
          <t>Ads, website, signage, printing, sponsorships with a business purpose.</t>
        </is>
      </c>
    </row>
    <row r="28">
      <c r="A28" s="25" t="inlineStr">
        <is>
          <t>Business insurance</t>
        </is>
      </c>
      <c r="B28" s="25" t="inlineStr">
        <is>
          <t>Deductible</t>
        </is>
      </c>
      <c r="C28" s="26" t="n">
        <v>1</v>
      </c>
      <c r="D28" s="25" t="inlineStr">
        <is>
          <t>Liability, malpractice, property, tools, business auto. Health premiums are a separate deduction.</t>
        </is>
      </c>
    </row>
    <row r="29">
      <c r="A29" s="25" t="inlineStr">
        <is>
          <t>Professional, legal &amp; permit fees</t>
        </is>
      </c>
      <c r="B29" s="25" t="inlineStr">
        <is>
          <t>Deductible</t>
        </is>
      </c>
      <c r="C29" s="26" t="n">
        <v>1</v>
      </c>
      <c r="D29" s="25" t="inlineStr">
        <is>
          <t>Accountant, attorney, consultants, payroll service, permits, disposal fees.</t>
        </is>
      </c>
    </row>
    <row r="30">
      <c r="A30" s="25" t="inlineStr">
        <is>
          <t>Rent: office, booth, shop, storage, equipment</t>
        </is>
      </c>
      <c r="B30" s="25" t="inlineStr">
        <is>
          <t>Deductible</t>
        </is>
      </c>
      <c r="C30" s="26" t="n">
        <v>1</v>
      </c>
      <c r="D30" s="25" t="inlineStr">
        <is>
          <t>Rent paid for business space or equipment you do not own.</t>
        </is>
      </c>
    </row>
    <row r="31">
      <c r="A31" s="25" t="inlineStr">
        <is>
          <t>Contract labor &amp; wages</t>
        </is>
      </c>
      <c r="B31" s="25" t="inlineStr">
        <is>
          <t>Deductible</t>
        </is>
      </c>
      <c r="C31" s="26" t="n">
        <v>1</v>
      </c>
      <c r="D31" s="25" t="inlineStr">
        <is>
          <t>Form 1099-NEC is required for contractors paid $2,000 or more in 2026.</t>
        </is>
      </c>
    </row>
    <row r="32">
      <c r="A32" s="25" t="inlineStr">
        <is>
          <t>Inventory &amp; cost of goods</t>
        </is>
      </c>
      <c r="B32" s="25" t="inlineStr">
        <is>
          <t>For your CPA</t>
        </is>
      </c>
      <c r="C32" s="26" t="n">
        <v>0</v>
      </c>
      <c r="D32" s="25" t="inlineStr">
        <is>
          <t>Runs through cost of goods sold, not expenses, and depends on year-end inventory. Log it; your CPA will place it.</t>
        </is>
      </c>
    </row>
    <row r="33">
      <c r="A33" s="25" t="inlineStr">
        <is>
          <t>Shipping &amp; postage</t>
        </is>
      </c>
      <c r="B33" s="25" t="inlineStr">
        <is>
          <t>Deductible</t>
        </is>
      </c>
      <c r="C33" s="26" t="n">
        <v>1</v>
      </c>
      <c r="D33" s="25" t="inlineStr"/>
    </row>
    <row r="34">
      <c r="A34" s="25" t="inlineStr">
        <is>
          <t>Bank, card &amp; platform fees</t>
        </is>
      </c>
      <c r="B34" s="25" t="inlineStr">
        <is>
          <t>Deductible</t>
        </is>
      </c>
      <c r="C34" s="26" t="n">
        <v>1</v>
      </c>
      <c r="D34" s="25" t="inlineStr">
        <is>
          <t>Card processing, business account fees, marketplace and app commissions.</t>
        </is>
      </c>
    </row>
    <row r="35">
      <c r="A35" s="25" t="inlineStr">
        <is>
          <t>Uniforms &amp; protective gear</t>
        </is>
      </c>
      <c r="B35" s="25" t="inlineStr">
        <is>
          <t>Deductible</t>
        </is>
      </c>
      <c r="C35" s="26" t="n">
        <v>1</v>
      </c>
      <c r="D35" s="25" t="inlineStr">
        <is>
          <t>Only if not suitable for everyday wear: scrubs, steel-toe boots, branded uniforms, safety gear.</t>
        </is>
      </c>
    </row>
    <row r="36">
      <c r="A36" s="25" t="inlineStr">
        <is>
          <t>Business gifts</t>
        </is>
      </c>
      <c r="B36" s="25" t="inlineStr">
        <is>
          <t>Partly deductible</t>
        </is>
      </c>
      <c r="C36" s="26" t="n">
        <v>1</v>
      </c>
      <c r="D36" s="25" t="inlineStr">
        <is>
          <t>Limited to $25 per recipient per year. Log the recipient.</t>
        </is>
      </c>
    </row>
    <row r="37">
      <c r="A37" s="25" t="inlineStr">
        <is>
          <t>Health insurance premiums (self-employed)</t>
        </is>
      </c>
      <c r="B37" s="25" t="inlineStr">
        <is>
          <t>For your CPA</t>
        </is>
      </c>
      <c r="C37" s="26" t="n">
        <v>0</v>
      </c>
      <c r="D37" s="25" t="inlineStr">
        <is>
          <t>Deducted on the 1040, not the business schedule, if you qualify. Log it so it is not missed.</t>
        </is>
      </c>
    </row>
    <row r="38">
      <c r="A38" s="25" t="inlineStr">
        <is>
          <t>Clothing &amp; grooming</t>
        </is>
      </c>
      <c r="B38" s="25" t="inlineStr">
        <is>
          <t>Not deductible</t>
        </is>
      </c>
      <c r="C38" s="26" t="n">
        <v>0</v>
      </c>
      <c r="D38" s="25" t="inlineStr">
        <is>
          <t>Suits, dress shoes, haircuts, athletic wear: not deductible even if required for work.</t>
        </is>
      </c>
    </row>
    <row r="39">
      <c r="A39" s="25" t="inlineStr">
        <is>
          <t>Commuting</t>
        </is>
      </c>
      <c r="B39" s="25" t="inlineStr">
        <is>
          <t>Not deductible</t>
        </is>
      </c>
      <c r="C39" s="26" t="n">
        <v>0</v>
      </c>
      <c r="D39" s="25" t="inlineStr">
        <is>
          <t>Home to your regular workplace and back is personal, whatever you carry or discuss on the way.</t>
        </is>
      </c>
    </row>
    <row r="40">
      <c r="A40" s="25" t="inlineStr">
        <is>
          <t>Vehicle costs: gas, repairs, car insurance</t>
        </is>
      </c>
      <c r="B40" s="25" t="inlineStr">
        <is>
          <t>Not deductible</t>
        </is>
      </c>
      <c r="C40" s="26" t="n">
        <v>0</v>
      </c>
      <c r="D40" s="25" t="inlineStr">
        <is>
          <t>Already inside the standard mileage rate you are using for trips. Do not deduct both. Parking and tolls are separate.</t>
        </is>
      </c>
    </row>
    <row r="41">
      <c r="A41" s="25" t="inlineStr">
        <is>
          <t>Fines, penalties &amp; tickets</t>
        </is>
      </c>
      <c r="B41" s="25" t="inlineStr">
        <is>
          <t>Not deductible</t>
        </is>
      </c>
      <c r="C41" s="26" t="n">
        <v>0</v>
      </c>
      <c r="D41" s="25" t="inlineStr">
        <is>
          <t>Never deductible.</t>
        </is>
      </c>
    </row>
    <row r="42">
      <c r="A42" s="25" t="inlineStr">
        <is>
          <t>Personal or mixed, unsure</t>
        </is>
      </c>
      <c r="B42" s="25" t="inlineStr">
        <is>
          <t>For your CPA</t>
        </is>
      </c>
      <c r="C42" s="26" t="n">
        <v>0</v>
      </c>
      <c r="D42" s="25" t="inlineStr">
        <is>
          <t>Log it and let your CPA sort it. Better recorded than forgotten.</t>
        </is>
      </c>
    </row>
  </sheetData>
  <mergeCells count="3">
    <mergeCell ref="A1:D1"/>
    <mergeCell ref="A3:D3"/>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2026-10-02T00:37:47Z</dcterms:created>
  <dcterms:modified xsi:type="dcterms:W3CDTF">2026-10-02T00:37:47Z</dcterms:modified>
</cp:coreProperties>
</file>