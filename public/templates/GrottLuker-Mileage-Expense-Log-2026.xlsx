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Log" sheetId="2" state="visible" r:id="rId2"/>
    <sheet name="Travel" sheetId="3" state="visible" r:id="rId3"/>
    <sheet name="Expenses" sheetId="4" state="visible" r:id="rId4"/>
    <sheet name="Summary" sheetId="5" state="visible" r:id="rId5"/>
    <sheet name="Guide" sheetId="6" state="visible" r:id="rId6"/>
  </sheets>
  <definedNames>
    <definedName name="_xlnm.Print_Titles" localSheetId="0">'Start here'!$1:$4</definedName>
    <definedName name="_xlnm.Print_Titles" localSheetId="1">'Log'!$1:$4</definedName>
    <definedName name="_xlnm.Print_Titles" localSheetId="2">'Travel'!$1:$4</definedName>
    <definedName name="_xlnm.Print_Titles" localSheetId="3">'Expenses'!$1:$4</definedName>
    <definedName name="_xlnm.Print_Titles" localSheetId="4">'Summary'!$1:$4</definedName>
    <definedName name="_xlnm.Print_Titles" localSheetId="5">'Guide'!$1:$4</definedName>
  </definedNames>
  <calcPr calcId="124519" fullCalcOnLoad="1"/>
</workbook>
</file>

<file path=xl/styles.xml><?xml version="1.0" encoding="utf-8"?>
<styleSheet xmlns="http://schemas.openxmlformats.org/spreadsheetml/2006/main">
  <numFmts count="6">
    <numFmt numFmtId="164" formatCode="yyyy-mm-dd"/>
    <numFmt numFmtId="165" formatCode="mm/dd/yyyy"/>
    <numFmt numFmtId="166" formatCode="$0.000"/>
    <numFmt numFmtId="167" formatCode="#,##0;(#,##0);&quot;–&quot;"/>
    <numFmt numFmtId="168" formatCode="$#,##0.00;($#,##0.00);&quot;–&quot;"/>
    <numFmt numFmtId="169" formatCode="$#,##0;($#,##0);&quot;–&quot;"/>
  </numFmts>
  <fonts count="15">
    <font>
      <name val="Calibri"/>
      <family val="2"/>
      <color theme="1"/>
      <sz val="11"/>
      <scheme val="minor"/>
    </font>
    <font>
      <name val="Georgia"/>
      <color rgb="00FFFFFF"/>
      <sz val="15"/>
    </font>
    <font>
      <name val="Arial"/>
      <color rgb="00C9D6E6"/>
      <sz val="8"/>
    </font>
    <font>
      <name val="Georgia"/>
      <b val="1"/>
      <color rgb="000F2440"/>
      <sz val="12"/>
    </font>
    <font>
      <name val="Arial"/>
      <color rgb="0026262B"/>
      <sz val="10"/>
    </font>
    <font>
      <name val="Arial"/>
      <i val="1"/>
      <color rgb="00726D63"/>
      <sz val="9"/>
    </font>
    <font>
      <name val="Arial"/>
      <b val="1"/>
      <color rgb="0026262B"/>
      <sz val="10"/>
    </font>
    <font>
      <name val="Arial"/>
      <b val="1"/>
      <color rgb="00726D63"/>
      <sz val="8"/>
    </font>
    <font>
      <name val="Georgia"/>
      <b val="1"/>
      <color rgb="000F2440"/>
      <sz val="11"/>
    </font>
    <font>
      <name val="Arial"/>
      <b val="1"/>
      <color rgb="000F2440"/>
      <sz val="11"/>
    </font>
    <font>
      <name val="Arial"/>
      <color rgb="00A5533C"/>
      <sz val="9"/>
    </font>
    <font>
      <name val="Arial"/>
      <color rgb="00454650"/>
      <sz val="10"/>
    </font>
    <font>
      <name val="Georgia"/>
      <b val="1"/>
      <color rgb="000F2440"/>
      <sz val="18"/>
    </font>
    <font>
      <name val="Arial"/>
      <color rgb="00726D63"/>
      <sz val="8"/>
    </font>
    <font>
      <name val="Georgia"/>
      <b val="1"/>
      <color rgb="000F2440"/>
      <sz val="24"/>
    </font>
  </fonts>
  <fills count="6">
    <fill>
      <patternFill/>
    </fill>
    <fill>
      <patternFill patternType="gray125"/>
    </fill>
    <fill>
      <patternFill patternType="solid">
        <fgColor rgb="000F2440"/>
      </patternFill>
    </fill>
    <fill>
      <patternFill patternType="solid">
        <fgColor rgb="00F4F0E6"/>
      </patternFill>
    </fill>
    <fill>
      <patternFill patternType="solid">
        <fgColor rgb="00EAF1FA"/>
      </patternFill>
    </fill>
    <fill>
      <patternFill patternType="solid">
        <fgColor rgb="00FFFBEA"/>
      </patternFill>
    </fill>
  </fills>
  <borders count="8">
    <border>
      <left/>
      <right/>
      <top/>
      <bottom/>
      <diagonal/>
    </border>
    <border>
      <bottom style="medium">
        <color rgb="00C4A054"/>
      </bottom>
    </border>
    <border>
      <bottom style="thin">
        <color rgb="000F2440"/>
      </bottom>
    </border>
    <border>
      <bottom style="thin">
        <color rgb="00E6E0D2"/>
      </bottom>
    </border>
    <border>
      <left/>
      <right/>
      <top/>
      <bottom style="thin">
        <color rgb="00E6E0D2"/>
      </bottom>
      <diagonal/>
    </border>
    <border>
      <top style="thin">
        <color rgb="000F2440"/>
      </top>
    </border>
    <border>
      <left style="medium">
        <color rgb="00C4A054"/>
      </left>
    </border>
    <border>
      <left style="medium">
        <color rgb="00C4A054"/>
      </left>
      <right/>
      <bottom/>
    </border>
  </borders>
  <cellStyleXfs count="1">
    <xf numFmtId="0" fontId="0" fillId="0" borderId="0"/>
  </cellStyleXfs>
  <cellXfs count="58">
    <xf numFmtId="0" fontId="0" fillId="0" borderId="0" pivotButton="0" quotePrefix="0" xfId="0"/>
    <xf numFmtId="0" fontId="0" fillId="2" borderId="0" pivotButton="0" quotePrefix="0" xfId="0"/>
    <xf numFmtId="0" fontId="1" fillId="2" borderId="0" applyAlignment="1" pivotButton="0" quotePrefix="0" xfId="0">
      <alignment horizontal="right" vertical="center"/>
    </xf>
    <xf numFmtId="0" fontId="2" fillId="2" borderId="0" applyAlignment="1" pivotButton="0" quotePrefix="0" xfId="0">
      <alignment horizontal="right" vertical="top"/>
    </xf>
    <xf numFmtId="0" fontId="3" fillId="3" borderId="1" applyAlignment="1" pivotButton="0" quotePrefix="0" xfId="0">
      <alignment vertical="top" wrapText="1" indent="1"/>
    </xf>
    <xf numFmtId="0" fontId="4" fillId="0" borderId="0" applyAlignment="1" pivotButton="0" quotePrefix="0" xfId="0">
      <alignment vertical="top" wrapText="1" indent="1"/>
    </xf>
    <xf numFmtId="0" fontId="5" fillId="0" borderId="0" applyAlignment="1" pivotButton="0" quotePrefix="0" xfId="0">
      <alignment vertical="top" wrapText="1" indent="1"/>
    </xf>
    <xf numFmtId="0" fontId="5"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3" fillId="3" borderId="1" applyAlignment="1" pivotButton="0" quotePrefix="0" xfId="0">
      <alignment vertical="center" indent="1"/>
    </xf>
    <xf numFmtId="0" fontId="0" fillId="3" borderId="1" pivotButton="0" quotePrefix="0" xfId="0"/>
    <xf numFmtId="0" fontId="4" fillId="0" borderId="3" applyAlignment="1" pivotButton="0" quotePrefix="0" xfId="0">
      <alignment vertical="center" indent="1"/>
    </xf>
    <xf numFmtId="1" fontId="4" fillId="4" borderId="3" applyAlignment="1" pivotButton="0" quotePrefix="0" xfId="0">
      <alignment horizontal="left" vertical="center" indent="1"/>
    </xf>
    <xf numFmtId="0" fontId="5" fillId="0" borderId="0" pivotButton="0" quotePrefix="0" xfId="0"/>
    <xf numFmtId="0" fontId="4" fillId="4" borderId="3" applyAlignment="1" pivotButton="0" quotePrefix="0" xfId="0">
      <alignment horizontal="left" vertical="center" indent="1"/>
    </xf>
    <xf numFmtId="0" fontId="0" fillId="0" borderId="4" pivotButton="0" quotePrefix="0" xfId="0"/>
    <xf numFmtId="0" fontId="5" fillId="3" borderId="1" applyAlignment="1" pivotButton="0" quotePrefix="0" xfId="0">
      <alignment horizontal="right" vertical="center"/>
    </xf>
    <xf numFmtId="0" fontId="7" fillId="0" borderId="2" applyAlignment="1" pivotButton="0" quotePrefix="0" xfId="0">
      <alignment horizontal="left" vertical="bottom" indent="1"/>
    </xf>
    <xf numFmtId="0" fontId="7" fillId="0" borderId="2" applyAlignment="1" pivotButton="0" quotePrefix="0" xfId="0">
      <alignment horizontal="left" vertical="bottom"/>
    </xf>
    <xf numFmtId="0" fontId="7" fillId="0" borderId="2" applyAlignment="1" pivotButton="0" quotePrefix="0" xfId="0">
      <alignment horizontal="right" vertical="bottom"/>
    </xf>
    <xf numFmtId="165" fontId="4" fillId="0" borderId="3" applyAlignment="1" pivotButton="0" quotePrefix="0" xfId="0">
      <alignment horizontal="left" vertical="center" indent="1"/>
    </xf>
    <xf numFmtId="166" fontId="4" fillId="0" borderId="3" applyAlignment="1" pivotButton="0" quotePrefix="0" xfId="0">
      <alignment horizontal="right" vertical="center"/>
    </xf>
    <xf numFmtId="0" fontId="6" fillId="0" borderId="3" applyAlignment="1" pivotButton="0" quotePrefix="0" xfId="0">
      <alignment vertical="top" wrapText="1" indent="1"/>
    </xf>
    <xf numFmtId="0" fontId="4" fillId="0" borderId="3" applyAlignment="1" pivotButton="0" quotePrefix="0" xfId="0">
      <alignment vertical="top" wrapText="1"/>
    </xf>
    <xf numFmtId="0" fontId="4" fillId="0" borderId="3" applyAlignment="1" pivotButton="0" quotePrefix="0" xfId="0">
      <alignment vertical="center" wrapText="1" indent="1"/>
    </xf>
    <xf numFmtId="0" fontId="4" fillId="0" borderId="3" applyAlignment="1" pivotButton="0" quotePrefix="0" xfId="0">
      <alignment vertical="center"/>
    </xf>
    <xf numFmtId="0" fontId="5" fillId="0" borderId="3" applyAlignment="1" pivotButton="0" quotePrefix="0" xfId="0">
      <alignment vertical="center"/>
    </xf>
    <xf numFmtId="165" fontId="4" fillId="5" borderId="3" applyAlignment="1" pivotButton="0" quotePrefix="0" xfId="0">
      <alignment horizontal="left" vertical="center" indent="1"/>
    </xf>
    <xf numFmtId="0" fontId="4" fillId="5" borderId="3" applyAlignment="1" pivotButton="0" quotePrefix="0" xfId="0">
      <alignment horizontal="left" vertical="center" indent="1"/>
    </xf>
    <xf numFmtId="167" fontId="4" fillId="5" borderId="3" applyAlignment="1" pivotButton="0" quotePrefix="0" xfId="0">
      <alignment horizontal="right" vertical="center"/>
    </xf>
    <xf numFmtId="168" fontId="4" fillId="0" borderId="3" applyAlignment="1" pivotButton="0" quotePrefix="0" xfId="0">
      <alignment horizontal="right" vertical="center"/>
    </xf>
    <xf numFmtId="0" fontId="0" fillId="0" borderId="5" pivotButton="0" quotePrefix="0" xfId="0"/>
    <xf numFmtId="0" fontId="8" fillId="0" borderId="5" applyAlignment="1" pivotButton="0" quotePrefix="0" xfId="0">
      <alignment horizontal="right" vertical="center"/>
    </xf>
    <xf numFmtId="167" fontId="8" fillId="0" borderId="5" applyAlignment="1" pivotButton="0" quotePrefix="0" xfId="0">
      <alignment horizontal="right" vertical="center"/>
    </xf>
    <xf numFmtId="168" fontId="8" fillId="0" borderId="5" applyAlignment="1" pivotButton="0" quotePrefix="0" xfId="0">
      <alignment horizontal="right" vertical="center"/>
    </xf>
    <xf numFmtId="0" fontId="7" fillId="0" borderId="2" applyAlignment="1" pivotButton="0" quotePrefix="0" xfId="0">
      <alignment horizontal="center" vertical="bottom"/>
    </xf>
    <xf numFmtId="168" fontId="4" fillId="5" borderId="3" applyAlignment="1" pivotButton="0" quotePrefix="0" xfId="0">
      <alignment horizontal="right" vertical="center"/>
    </xf>
    <xf numFmtId="0" fontId="4" fillId="0" borderId="3" applyAlignment="1" pivotButton="0" quotePrefix="0" xfId="0">
      <alignment horizontal="left" vertical="center" indent="1"/>
    </xf>
    <xf numFmtId="0" fontId="9" fillId="0" borderId="3" applyAlignment="1" pivotButton="0" quotePrefix="0" xfId="0">
      <alignment horizontal="center" vertical="center"/>
    </xf>
    <xf numFmtId="0" fontId="10" fillId="0" borderId="3" applyAlignment="1" pivotButton="0" quotePrefix="0" xfId="0">
      <alignment vertical="center"/>
    </xf>
    <xf numFmtId="0" fontId="11" fillId="0" borderId="0" pivotButton="0" quotePrefix="0" xfId="0"/>
    <xf numFmtId="0" fontId="7" fillId="3" borderId="0" applyAlignment="1" pivotButton="0" quotePrefix="0" xfId="0">
      <alignment horizontal="center" vertical="bottom"/>
    </xf>
    <xf numFmtId="169" fontId="14" fillId="3" borderId="0" applyAlignment="1" pivotButton="0" quotePrefix="0" xfId="0">
      <alignment horizontal="center" vertical="center"/>
    </xf>
    <xf numFmtId="0" fontId="13" fillId="3" borderId="0" applyAlignment="1" pivotButton="0" quotePrefix="0" xfId="0">
      <alignment horizontal="center" vertical="top"/>
    </xf>
    <xf numFmtId="167" fontId="12" fillId="3" borderId="0" applyAlignment="1" pivotButton="0" quotePrefix="0" xfId="0">
      <alignment horizontal="center" vertical="center"/>
    </xf>
    <xf numFmtId="169" fontId="12" fillId="3" borderId="0" applyAlignment="1" pivotButton="0" quotePrefix="0" xfId="0">
      <alignment horizontal="center" vertical="center"/>
    </xf>
    <xf numFmtId="167" fontId="4" fillId="0" borderId="3" applyAlignment="1" pivotButton="0" quotePrefix="0" xfId="0">
      <alignment horizontal="right" vertical="center"/>
    </xf>
    <xf numFmtId="0" fontId="8" fillId="0" borderId="5" applyAlignment="1" pivotButton="0" quotePrefix="0" xfId="0">
      <alignment horizontal="left" vertical="center" indent="1"/>
    </xf>
    <xf numFmtId="0" fontId="6" fillId="3" borderId="6" applyAlignment="1" pivotButton="0" quotePrefix="0" xfId="0">
      <alignment vertical="center" indent="1"/>
    </xf>
    <xf numFmtId="0" fontId="0" fillId="3" borderId="0" pivotButton="0" quotePrefix="0" xfId="0"/>
    <xf numFmtId="0" fontId="4" fillId="3" borderId="7" applyAlignment="1" pivotButton="0" quotePrefix="0" xfId="0">
      <alignment vertical="top" wrapText="1" indent="1"/>
    </xf>
    <xf numFmtId="0" fontId="7" fillId="0" borderId="0" pivotButton="0" quotePrefix="0" xfId="0"/>
    <xf numFmtId="0" fontId="4" fillId="0" borderId="0" pivotButton="0" quotePrefix="0" xfId="0"/>
    <xf numFmtId="0" fontId="7" fillId="0" borderId="0" applyAlignment="1" pivotButton="0" quotePrefix="0" xfId="0">
      <alignment vertical="bottom" wrapText="1"/>
    </xf>
    <xf numFmtId="0" fontId="4" fillId="0" borderId="3" applyAlignment="1" pivotButton="0" quotePrefix="0" xfId="0">
      <alignment vertical="top" wrapText="1" indent="1"/>
    </xf>
    <xf numFmtId="9" fontId="4" fillId="0" borderId="3"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_rels/drawing6.xml.rels><Relationships xmlns="http://schemas.openxmlformats.org/package/2006/relationships"><Relationship Type="http://schemas.openxmlformats.org/officeDocument/2006/relationships/image" Target="/xl/media/image6.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1219200" cy="49530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1219200" cy="495300"/>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1219200" cy="495300"/>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1219200" cy="495300"/>
    <pic>
      <nvPicPr>
        <cNvPr id="1" name="Image 1" descr="Picture"/>
        <cNvPicPr/>
      </nvPicPr>
      <blipFill>
        <a:blip cstate="print" r:embed="rId1"/>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1219200" cy="495300"/>
    <pic>
      <nvPicPr>
        <cNvPr id="1" name="Image 1" descr="Picture"/>
        <cNvPicPr/>
      </nvPicPr>
      <blipFill>
        <a:blip cstate="print" r:embed="rId1"/>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1219200" cy="49530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sheet1.xml><?xml version="1.0" encoding="utf-8"?>
<worksheet xmlns="http://schemas.openxmlformats.org/spreadsheetml/2006/main">
  <sheetPr>
    <tabColor rgb="000F2440"/>
    <outlinePr summaryBelow="1" summaryRight="1"/>
    <pageSetUpPr fitToPage="1"/>
  </sheetPr>
  <dimension ref="A1:A30"/>
  <sheetViews>
    <sheetView showGridLines="0" showRowColHeaders="0" zoomScale="110" workbookViewId="0">
      <selection activeCell="A1" sqref="A1"/>
    </sheetView>
  </sheetViews>
  <sheetFormatPr baseColWidth="8" defaultRowHeight="15"/>
  <cols>
    <col width="118" customWidth="1" min="1" max="1"/>
  </cols>
  <sheetData>
    <row r="1" ht="10" customHeight="1">
      <c r="A1" s="1" t="n"/>
    </row>
    <row r="2" ht="40" customHeight="1">
      <c r="A2" s="2" t="inlineStr">
        <is>
          <t>Mileage &amp; Expense Log 2026</t>
        </is>
      </c>
    </row>
    <row r="3" ht="14" customHeight="1">
      <c r="A3" s="3" t="inlineStr">
        <is>
          <t>How to use this workbook   ·   Powered by BlueLine Advisors</t>
        </is>
      </c>
    </row>
    <row r="4" ht="10" customHeight="1"/>
    <row r="5" ht="24" customHeight="1">
      <c r="A5" s="4" t="inlineStr">
        <is>
          <t>Start on the Log sheet</t>
        </is>
      </c>
    </row>
    <row r="6" ht="30" customHeight="1">
      <c r="A6" s="5" t="inlineStr">
        <is>
          <t>Pick the tax year and your line of work. The sheet then lists what people in your work usually forget to log, and what they tend to claim that is not deductible.</t>
        </is>
      </c>
    </row>
    <row r="7" ht="30" customHeight="1">
      <c r="A7" s="5" t="inlineStr">
        <is>
          <t>Travel — one row per trip: date, client, where and why, miles, purpose. The IRS rate for that date and the total fill in by themselves.</t>
        </is>
      </c>
    </row>
    <row r="8" ht="30" customHeight="1">
      <c r="A8" s="5" t="inlineStr">
        <is>
          <t>Expenses — one row per cost: date, client or vendor, what and why, amount, category. The sheet shows how the category is usually treated, whether it is typical for your work, and any watch-out for your line of work.</t>
        </is>
      </c>
    </row>
    <row r="9" ht="30" customHeight="1">
      <c r="A9" s="5" t="inlineStr">
        <is>
          <t>Summary — the year-end report: estimated deductions, miles by purpose, expenses by treatment, and the notes for your line of work.</t>
        </is>
      </c>
    </row>
    <row r="10" ht="16" customHeight="1">
      <c r="A10" s="5" t="inlineStr"/>
    </row>
    <row r="11" ht="24" customHeight="1">
      <c r="A11" s="4" t="inlineStr">
        <is>
          <t>How expenses are counted</t>
        </is>
      </c>
    </row>
    <row r="12" ht="30" customHeight="1">
      <c r="A12" s="5" t="inlineStr">
        <is>
          <t>Deductible — counted in full.  Partly deductible — counted at the allowed share (business meals at 50%).  For your CPA — recorded and totaled separately, not counted, because the answer depends on facts the log cannot see (business-use %, cost per item, exclusive use).  Not deductible — recorded so your CPA sees it, counted at zero.</t>
        </is>
      </c>
    </row>
    <row r="13" ht="16" customHeight="1">
      <c r="A13" s="5" t="inlineStr"/>
    </row>
    <row r="14" ht="24" customHeight="1">
      <c r="A14" s="4" t="inlineStr">
        <is>
          <t>Rules of thumb</t>
        </is>
      </c>
    </row>
    <row r="15" ht="16" customHeight="1">
      <c r="A15" s="5" t="inlineStr">
        <is>
          <t>Keep the log as you go. A reconstructed log is the first thing an auditor challenges.</t>
        </is>
      </c>
    </row>
    <row r="16" ht="16" customHeight="1">
      <c r="A16" s="5" t="inlineStr">
        <is>
          <t>Commuting from home to your regular workplace is not deductible, whatever you carry or discuss on the way.</t>
        </is>
      </c>
    </row>
    <row r="17" ht="30" customHeight="1">
      <c r="A17" s="5" t="inlineStr">
        <is>
          <t>Parking and tolls are deductible on top of the mileage rate. Gas, repairs, and car insurance are not; they are already inside the rate.</t>
        </is>
      </c>
    </row>
    <row r="18" ht="16" customHeight="1">
      <c r="A18" s="5" t="inlineStr"/>
    </row>
    <row r="19" ht="24" customHeight="1">
      <c r="A19" s="4" t="inlineStr">
        <is>
          <t>When you are done</t>
        </is>
      </c>
    </row>
    <row r="20" ht="30" customHeight="1">
      <c r="A20" s="5" t="inlineStr">
        <is>
          <t>In January, email this file to your Grott Luker CPA, or enter the totals in the online log at the link we sent you.</t>
        </is>
      </c>
    </row>
    <row r="21" ht="30" customHeight="1">
      <c r="A21" s="6" t="inlineStr">
        <is>
          <t>Light-yellow cells are yours. Everything else calculates itself. The rules are general 2026 federal treatment; your CPA decides.</t>
        </is>
      </c>
    </row>
    <row r="23" ht="30" customHeight="1">
      <c r="A23" s="7" t="inlineStr">
        <is>
          <t>Prepared for planning with Grott Luker &amp; Co. This workbook organizes your records; it does not determine what is deductible. Entries are your own; review with your Grott Luker CPA before anything is used in a return or a decision.</t>
        </is>
      </c>
    </row>
    <row r="25" ht="15" customHeight="1">
      <c r="A25" s="8" t="inlineStr">
        <is>
          <t>Grott Luker &amp; Co.</t>
        </is>
      </c>
    </row>
    <row r="26" ht="15" customHeight="1">
      <c r="A26" s="9" t="inlineStr">
        <is>
          <t>Certified Public Accountants · Portsmouth, New Hampshire · Accounting | Tax Planning | Advisory</t>
        </is>
      </c>
    </row>
    <row r="27" ht="15" customHeight="1">
      <c r="A27" s="9" t="inlineStr">
        <is>
          <t>Questions about this workbook go to your Grott Luker CPA.</t>
        </is>
      </c>
    </row>
    <row r="28" ht="15" customHeight="1">
      <c r="A28" s="9" t="inlineStr"/>
    </row>
    <row r="29" ht="15" customHeight="1">
      <c r="A29" s="10" t="inlineStr">
        <is>
          <t>Powered by BlueLine Advisors</t>
        </is>
      </c>
    </row>
    <row r="30" ht="30" customHeight="1">
      <c r="A30" s="7" t="inlineStr">
        <is>
          <t>The Client Decision Support Toolkit and its templates are built and maintained for Grott Luker &amp; Co. by BlueLine Advisors, LLC, an SEC-registered investment adviser in Exeter, NH (registration does not imply any particular level of skill). Using this workbook does not create an advisory relationship with BlueLine.</t>
        </is>
      </c>
    </row>
  </sheetData>
  <mergeCells count="7">
    <mergeCell ref="A27"/>
    <mergeCell ref="A26"/>
    <mergeCell ref="A30"/>
    <mergeCell ref="A29"/>
    <mergeCell ref="A25"/>
    <mergeCell ref="A28"/>
    <mergeCell ref="A23"/>
  </mergeCells>
  <pageMargins left="0.5" right="0.5" top="0.6" bottom="0.6" header="0.5" footer="0.5"/>
  <pageSetup orientation="portrait" fitToHeight="0" fitToWidth="1"/>
  <headerFooter>
    <oddHeader/>
    <oddFooter>&amp;L&amp;8 Grott Luker &amp; Co. · Mileage &amp; Expense Log 2026&amp;R&amp;8 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0F2440"/>
    <outlinePr summaryBelow="1" summaryRight="1"/>
    <pageSetUpPr fitToPage="1"/>
  </sheetPr>
  <dimension ref="A1:F39"/>
  <sheetViews>
    <sheetView showGridLines="0" showRowColHeaders="0" zoomScale="110" workbookViewId="0">
      <pane ySplit="4" topLeftCell="A5" activePane="bottomLeft" state="frozen"/>
      <selection pane="bottomLeft" activeCell="A1" sqref="A1"/>
    </sheetView>
  </sheetViews>
  <sheetFormatPr baseColWidth="8" defaultRowHeight="15"/>
  <cols>
    <col width="34" customWidth="1" min="1" max="1"/>
    <col width="44" customWidth="1" min="2" max="2"/>
    <col width="14" customWidth="1" min="3" max="3"/>
    <col width="14" customWidth="1" min="4" max="4"/>
    <col width="14" customWidth="1" min="5" max="5"/>
    <col width="16" customWidth="1" min="6" max="6"/>
  </cols>
  <sheetData>
    <row r="1" ht="10" customHeight="1">
      <c r="A1" s="1" t="n"/>
      <c r="B1" s="1" t="n"/>
      <c r="C1" s="1" t="n"/>
      <c r="D1" s="1" t="n"/>
      <c r="E1" s="1" t="n"/>
      <c r="F1" s="1" t="n"/>
    </row>
    <row r="2" ht="40" customHeight="1">
      <c r="A2" s="1" t="n"/>
      <c r="B2" s="1" t="n"/>
      <c r="C2" s="1" t="n"/>
      <c r="D2" s="1" t="n"/>
      <c r="E2" s="1" t="n"/>
      <c r="F2" s="2" t="inlineStr">
        <is>
          <t>Log</t>
        </is>
      </c>
    </row>
    <row r="3" ht="14" customHeight="1">
      <c r="A3" s="1" t="n"/>
      <c r="B3" s="1" t="n"/>
      <c r="C3" s="1" t="n"/>
      <c r="D3" s="1" t="n"/>
      <c r="E3" s="1" t="n"/>
      <c r="F3" s="3" t="inlineStr">
        <is>
          <t>Tax year and your line of work   ·   Powered by BlueLine Advisors</t>
        </is>
      </c>
    </row>
    <row r="4" ht="10" customHeight="1"/>
    <row r="5" ht="24" customHeight="1">
      <c r="A5" s="11" t="inlineStr">
        <is>
          <t>Tax year</t>
        </is>
      </c>
      <c r="B5" s="12" t="n"/>
      <c r="C5" s="12" t="n"/>
      <c r="D5" s="12" t="n"/>
      <c r="E5" s="12" t="n"/>
      <c r="F5" s="12" t="n"/>
    </row>
    <row r="6">
      <c r="A6" s="13" t="inlineStr">
        <is>
          <t>Tax year</t>
        </is>
      </c>
      <c r="B6" s="14" t="n">
        <v>2026</v>
      </c>
    </row>
    <row r="7">
      <c r="A7" s="15" t="inlineStr">
        <is>
          <t>IRS standard rates apply automatically by each trip's date. Verify against irs.gov every January.</t>
        </is>
      </c>
    </row>
    <row r="8" ht="24" customHeight="1">
      <c r="A8" s="11" t="inlineStr">
        <is>
          <t>Your line of work</t>
        </is>
      </c>
      <c r="B8" s="12" t="n"/>
      <c r="C8" s="12" t="n"/>
      <c r="D8" s="12" t="n"/>
      <c r="E8" s="12" t="n"/>
      <c r="F8" s="12" t="n"/>
    </row>
    <row r="9">
      <c r="A9" s="13" t="inlineStr">
        <is>
          <t>What kind of work is this log for?</t>
        </is>
      </c>
      <c r="B9" s="16" t="inlineStr">
        <is>
          <t>Other / general business</t>
        </is>
      </c>
      <c r="C9" s="17" t="n"/>
      <c r="D9" s="17" t="n"/>
      <c r="E9" s="17" t="n"/>
      <c r="F9" s="17" t="n"/>
    </row>
    <row r="10" ht="28" customHeight="1">
      <c r="A10" s="7" t="inlineStr">
        <is>
          <t>Picking your line of work changes the two lists below and marks your usual categories on the Expenses sheet. The rules are general; your CPA decides.</t>
        </is>
      </c>
    </row>
    <row r="12" ht="24" customHeight="1">
      <c r="A12" s="11" t="inlineStr">
        <is>
          <t>Rates in use</t>
        </is>
      </c>
      <c r="B12" s="12" t="n"/>
      <c r="C12" s="12" t="n"/>
      <c r="D12" s="12" t="n"/>
      <c r="E12" s="12" t="n"/>
      <c r="F12" s="18" t="inlineStr">
        <is>
          <t>dollars per mile</t>
        </is>
      </c>
    </row>
    <row r="13" ht="18" customHeight="1">
      <c r="A13" s="19" t="inlineStr">
        <is>
          <t>FROM</t>
        </is>
      </c>
      <c r="B13" s="20" t="n"/>
      <c r="C13" s="21" t="inlineStr">
        <is>
          <t>BUSINESS</t>
        </is>
      </c>
      <c r="D13" s="21" t="inlineStr">
        <is>
          <t>CHARITY</t>
        </is>
      </c>
      <c r="E13" s="21" t="inlineStr">
        <is>
          <t>MEDICAL</t>
        </is>
      </c>
    </row>
    <row r="14">
      <c r="A14" s="22">
        <f>Guide!A83</f>
        <v/>
      </c>
      <c r="C14" s="23">
        <f>Guide!B83</f>
        <v/>
      </c>
      <c r="D14" s="23">
        <f>Guide!C83</f>
        <v/>
      </c>
      <c r="E14" s="23">
        <f>Guide!D83</f>
        <v/>
      </c>
    </row>
    <row r="15">
      <c r="A15" s="22">
        <f>Guide!A84</f>
        <v/>
      </c>
      <c r="C15" s="23">
        <f>Guide!B84</f>
        <v/>
      </c>
      <c r="D15" s="23">
        <f>Guide!C84</f>
        <v/>
      </c>
      <c r="E15" s="23">
        <f>Guide!D84</f>
        <v/>
      </c>
    </row>
    <row r="16">
      <c r="A16" s="22">
        <f>Guide!A85</f>
        <v/>
      </c>
      <c r="C16" s="23">
        <f>Guide!B85</f>
        <v/>
      </c>
      <c r="D16" s="23">
        <f>Guide!C85</f>
        <v/>
      </c>
      <c r="E16" s="23">
        <f>Guide!D85</f>
        <v/>
      </c>
    </row>
    <row r="17">
      <c r="A17" s="22">
        <f>Guide!A86</f>
        <v/>
      </c>
      <c r="C17" s="23">
        <f>Guide!B86</f>
        <v/>
      </c>
      <c r="D17" s="23">
        <f>Guide!C86</f>
        <v/>
      </c>
      <c r="E17" s="23">
        <f>Guide!D86</f>
        <v/>
      </c>
    </row>
    <row r="19" ht="24" customHeight="1">
      <c r="A19" s="11" t="inlineStr">
        <is>
          <t>Usually not deductible</t>
        </is>
      </c>
      <c r="B19" s="12" t="n"/>
      <c r="C19" s="12" t="n"/>
      <c r="D19" s="12" t="n"/>
      <c r="E19" s="12" t="n"/>
      <c r="F19" s="18" t="inlineStr">
        <is>
          <t>for your line of work</t>
        </is>
      </c>
    </row>
    <row r="20" ht="32" customHeight="1">
      <c r="A20" s="24">
        <f>T(INDEX(Guide!$E$39:$R$41,1,Guide!$B$6))</f>
        <v/>
      </c>
      <c r="B20" s="25">
        <f>T(INDEX(Guide!$E$44:$R$46,1,Guide!$B$6))</f>
        <v/>
      </c>
      <c r="C20" s="17" t="n"/>
      <c r="D20" s="17" t="n"/>
      <c r="E20" s="17" t="n"/>
      <c r="F20" s="17" t="n"/>
    </row>
    <row r="21" ht="32" customHeight="1">
      <c r="A21" s="24">
        <f>T(INDEX(Guide!$E$39:$R$41,2,Guide!$B$6))</f>
        <v/>
      </c>
      <c r="B21" s="25">
        <f>T(INDEX(Guide!$E$44:$R$46,2,Guide!$B$6))</f>
        <v/>
      </c>
      <c r="C21" s="17" t="n"/>
      <c r="D21" s="17" t="n"/>
      <c r="E21" s="17" t="n"/>
      <c r="F21" s="17" t="n"/>
    </row>
    <row r="22" ht="32" customHeight="1">
      <c r="A22" s="24">
        <f>T(INDEX(Guide!$E$39:$R$41,3,Guide!$B$6))</f>
        <v/>
      </c>
      <c r="B22" s="25">
        <f>T(INDEX(Guide!$E$44:$R$46,3,Guide!$B$6))</f>
        <v/>
      </c>
      <c r="C22" s="17" t="n"/>
      <c r="D22" s="17" t="n"/>
      <c r="E22" s="17" t="n"/>
      <c r="F22" s="17" t="n"/>
    </row>
    <row r="24" ht="24" customHeight="1">
      <c r="A24" s="11" t="inlineStr">
        <is>
          <t>Pay extra attention to these</t>
        </is>
      </c>
      <c r="B24" s="12" t="n"/>
      <c r="C24" s="12" t="n"/>
      <c r="D24" s="12" t="n"/>
      <c r="E24" s="12" t="n"/>
      <c r="F24" s="18" t="inlineStr">
        <is>
          <t>people in your work tend to forget to log them</t>
        </is>
      </c>
    </row>
    <row r="25" ht="18" customHeight="1">
      <c r="A25" s="19" t="inlineStr">
        <is>
          <t>ITEM</t>
        </is>
      </c>
      <c r="B25" s="20" t="inlineStr">
        <is>
          <t>CATEGORY</t>
        </is>
      </c>
      <c r="C25" s="20" t="inlineStr">
        <is>
          <t>TREATMENT</t>
        </is>
      </c>
    </row>
    <row r="26" ht="28" customHeight="1">
      <c r="A26" s="26">
        <f>T(INDEX(Guide!$E$11:$R$22,1,Guide!$B$6))</f>
        <v/>
      </c>
      <c r="B26" s="27">
        <f>T(INDEX(Guide!$E$25:$R$36,1,Guide!$B$6))</f>
        <v/>
      </c>
      <c r="C26" s="28">
        <f>IF(B26="","",INDEX(Guide!$B$51:$B$78,MATCH(B26,Guide!$A$51:$A$78,0)))</f>
        <v/>
      </c>
      <c r="D26" s="17" t="n"/>
      <c r="E26" s="17" t="n"/>
      <c r="F26" s="17" t="n"/>
    </row>
    <row r="27" ht="28" customHeight="1">
      <c r="A27" s="26">
        <f>T(INDEX(Guide!$E$11:$R$22,2,Guide!$B$6))</f>
        <v/>
      </c>
      <c r="B27" s="27">
        <f>T(INDEX(Guide!$E$25:$R$36,2,Guide!$B$6))</f>
        <v/>
      </c>
      <c r="C27" s="28">
        <f>IF(B27="","",INDEX(Guide!$B$51:$B$78,MATCH(B27,Guide!$A$51:$A$78,0)))</f>
        <v/>
      </c>
      <c r="D27" s="17" t="n"/>
      <c r="E27" s="17" t="n"/>
      <c r="F27" s="17" t="n"/>
    </row>
    <row r="28" ht="28" customHeight="1">
      <c r="A28" s="26">
        <f>T(INDEX(Guide!$E$11:$R$22,3,Guide!$B$6))</f>
        <v/>
      </c>
      <c r="B28" s="27">
        <f>T(INDEX(Guide!$E$25:$R$36,3,Guide!$B$6))</f>
        <v/>
      </c>
      <c r="C28" s="28">
        <f>IF(B28="","",INDEX(Guide!$B$51:$B$78,MATCH(B28,Guide!$A$51:$A$78,0)))</f>
        <v/>
      </c>
      <c r="D28" s="17" t="n"/>
      <c r="E28" s="17" t="n"/>
      <c r="F28" s="17" t="n"/>
    </row>
    <row r="29" ht="28" customHeight="1">
      <c r="A29" s="26">
        <f>T(INDEX(Guide!$E$11:$R$22,4,Guide!$B$6))</f>
        <v/>
      </c>
      <c r="B29" s="27">
        <f>T(INDEX(Guide!$E$25:$R$36,4,Guide!$B$6))</f>
        <v/>
      </c>
      <c r="C29" s="28">
        <f>IF(B29="","",INDEX(Guide!$B$51:$B$78,MATCH(B29,Guide!$A$51:$A$78,0)))</f>
        <v/>
      </c>
      <c r="D29" s="17" t="n"/>
      <c r="E29" s="17" t="n"/>
      <c r="F29" s="17" t="n"/>
    </row>
    <row r="30" ht="28" customHeight="1">
      <c r="A30" s="26">
        <f>T(INDEX(Guide!$E$11:$R$22,5,Guide!$B$6))</f>
        <v/>
      </c>
      <c r="B30" s="27">
        <f>T(INDEX(Guide!$E$25:$R$36,5,Guide!$B$6))</f>
        <v/>
      </c>
      <c r="C30" s="28">
        <f>IF(B30="","",INDEX(Guide!$B$51:$B$78,MATCH(B30,Guide!$A$51:$A$78,0)))</f>
        <v/>
      </c>
      <c r="D30" s="17" t="n"/>
      <c r="E30" s="17" t="n"/>
      <c r="F30" s="17" t="n"/>
    </row>
    <row r="31" ht="28" customHeight="1">
      <c r="A31" s="26">
        <f>T(INDEX(Guide!$E$11:$R$22,6,Guide!$B$6))</f>
        <v/>
      </c>
      <c r="B31" s="27">
        <f>T(INDEX(Guide!$E$25:$R$36,6,Guide!$B$6))</f>
        <v/>
      </c>
      <c r="C31" s="28">
        <f>IF(B31="","",INDEX(Guide!$B$51:$B$78,MATCH(B31,Guide!$A$51:$A$78,0)))</f>
        <v/>
      </c>
      <c r="D31" s="17" t="n"/>
      <c r="E31" s="17" t="n"/>
      <c r="F31" s="17" t="n"/>
    </row>
    <row r="32" ht="28" customHeight="1">
      <c r="A32" s="26">
        <f>T(INDEX(Guide!$E$11:$R$22,7,Guide!$B$6))</f>
        <v/>
      </c>
      <c r="B32" s="27">
        <f>T(INDEX(Guide!$E$25:$R$36,7,Guide!$B$6))</f>
        <v/>
      </c>
      <c r="C32" s="28">
        <f>IF(B32="","",INDEX(Guide!$B$51:$B$78,MATCH(B32,Guide!$A$51:$A$78,0)))</f>
        <v/>
      </c>
      <c r="D32" s="17" t="n"/>
      <c r="E32" s="17" t="n"/>
      <c r="F32" s="17" t="n"/>
    </row>
    <row r="33" ht="28" customHeight="1">
      <c r="A33" s="26">
        <f>T(INDEX(Guide!$E$11:$R$22,8,Guide!$B$6))</f>
        <v/>
      </c>
      <c r="B33" s="27">
        <f>T(INDEX(Guide!$E$25:$R$36,8,Guide!$B$6))</f>
        <v/>
      </c>
      <c r="C33" s="28">
        <f>IF(B33="","",INDEX(Guide!$B$51:$B$78,MATCH(B33,Guide!$A$51:$A$78,0)))</f>
        <v/>
      </c>
      <c r="D33" s="17" t="n"/>
      <c r="E33" s="17" t="n"/>
      <c r="F33" s="17" t="n"/>
    </row>
    <row r="34" ht="28" customHeight="1">
      <c r="A34" s="26">
        <f>T(INDEX(Guide!$E$11:$R$22,9,Guide!$B$6))</f>
        <v/>
      </c>
      <c r="B34" s="27">
        <f>T(INDEX(Guide!$E$25:$R$36,9,Guide!$B$6))</f>
        <v/>
      </c>
      <c r="C34" s="28">
        <f>IF(B34="","",INDEX(Guide!$B$51:$B$78,MATCH(B34,Guide!$A$51:$A$78,0)))</f>
        <v/>
      </c>
      <c r="D34" s="17" t="n"/>
      <c r="E34" s="17" t="n"/>
      <c r="F34" s="17" t="n"/>
    </row>
    <row r="35" ht="28" customHeight="1">
      <c r="A35" s="26">
        <f>T(INDEX(Guide!$E$11:$R$22,10,Guide!$B$6))</f>
        <v/>
      </c>
      <c r="B35" s="27">
        <f>T(INDEX(Guide!$E$25:$R$36,10,Guide!$B$6))</f>
        <v/>
      </c>
      <c r="C35" s="28">
        <f>IF(B35="","",INDEX(Guide!$B$51:$B$78,MATCH(B35,Guide!$A$51:$A$78,0)))</f>
        <v/>
      </c>
      <c r="D35" s="17" t="n"/>
      <c r="E35" s="17" t="n"/>
      <c r="F35" s="17" t="n"/>
    </row>
    <row r="36" ht="28" customHeight="1">
      <c r="A36" s="26">
        <f>T(INDEX(Guide!$E$11:$R$22,11,Guide!$B$6))</f>
        <v/>
      </c>
      <c r="B36" s="27">
        <f>T(INDEX(Guide!$E$25:$R$36,11,Guide!$B$6))</f>
        <v/>
      </c>
      <c r="C36" s="28">
        <f>IF(B36="","",INDEX(Guide!$B$51:$B$78,MATCH(B36,Guide!$A$51:$A$78,0)))</f>
        <v/>
      </c>
      <c r="D36" s="17" t="n"/>
      <c r="E36" s="17" t="n"/>
      <c r="F36" s="17" t="n"/>
    </row>
    <row r="37" ht="28" customHeight="1">
      <c r="A37" s="26">
        <f>T(INDEX(Guide!$E$11:$R$22,12,Guide!$B$6))</f>
        <v/>
      </c>
      <c r="B37" s="27">
        <f>T(INDEX(Guide!$E$25:$R$36,12,Guide!$B$6))</f>
        <v/>
      </c>
      <c r="C37" s="28">
        <f>IF(B37="","",INDEX(Guide!$B$51:$B$78,MATCH(B37,Guide!$A$51:$A$78,0)))</f>
        <v/>
      </c>
      <c r="D37" s="17" t="n"/>
      <c r="E37" s="17" t="n"/>
      <c r="F37" s="17" t="n"/>
    </row>
    <row r="39" ht="30" customHeight="1">
      <c r="A39" s="7" t="inlineStr">
        <is>
          <t>Prepared for planning with Grott Luker &amp; Co. This workbook organizes your records; it does not determine what is deductible. Entries are your own; review with your Grott Luker CPA before anything is used in a return or a decision.</t>
        </is>
      </c>
    </row>
  </sheetData>
  <mergeCells count="19">
    <mergeCell ref="B22:F22"/>
    <mergeCell ref="C32:F32"/>
    <mergeCell ref="C37:F37"/>
    <mergeCell ref="C28:F28"/>
    <mergeCell ref="B21:F21"/>
    <mergeCell ref="C34:F34"/>
    <mergeCell ref="C30:F30"/>
    <mergeCell ref="C33:F33"/>
    <mergeCell ref="A10:F10"/>
    <mergeCell ref="C35:F35"/>
    <mergeCell ref="C26:F26"/>
    <mergeCell ref="C29:F29"/>
    <mergeCell ref="A39:F39"/>
    <mergeCell ref="B9:F9"/>
    <mergeCell ref="C31:F31"/>
    <mergeCell ref="B20:F20"/>
    <mergeCell ref="C27:F27"/>
    <mergeCell ref="C36:F36"/>
    <mergeCell ref="A7:F7"/>
  </mergeCells>
  <dataValidations count="2">
    <dataValidation sqref="B6" showDropDown="0" showInputMessage="0" showErrorMessage="0" allowBlank="0" type="list">
      <formula1>"2024,2025,2026"</formula1>
    </dataValidation>
    <dataValidation sqref="B9" showDropDown="0" showInputMessage="0" showErrorMessage="0" allowBlank="0" errorTitle="Line of work" error="Pick a line of work from the list." type="list">
      <formula1>=Guide!$A$89:$A$102</formula1>
    </dataValidation>
  </dataValidations>
  <pageMargins left="0.5" right="0.5" top="0.6" bottom="0.6" header="0.5" footer="0.5"/>
  <pageSetup orientation="portrait" fitToHeight="0" fitToWidth="1"/>
  <headerFooter>
    <oddHeader/>
    <oddFooter>&amp;L&amp;8 Grott Luker &amp; Co. · Mileage &amp; Expense Log 2026&amp;R&amp;8 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0F2440"/>
    <outlinePr summaryBelow="1" summaryRight="1"/>
    <pageSetUpPr fitToPage="1"/>
  </sheetPr>
  <dimension ref="A1:G159"/>
  <sheetViews>
    <sheetView showGridLines="0" showRowColHeaders="0" zoomScale="110" workbookViewId="0">
      <pane ySplit="6" topLeftCell="A7" activePane="bottomLeft" state="frozen"/>
      <selection pane="bottomLeft" activeCell="A1" sqref="A1"/>
    </sheetView>
  </sheetViews>
  <sheetFormatPr baseColWidth="8" defaultRowHeight="15"/>
  <cols>
    <col width="13" customWidth="1" min="1" max="1"/>
    <col width="22" customWidth="1" min="2" max="2"/>
    <col width="40" customWidth="1" min="3" max="3"/>
    <col width="10" customWidth="1" min="4" max="4"/>
    <col width="13" customWidth="1" min="5" max="5"/>
    <col width="10" customWidth="1" min="6" max="6"/>
    <col width="14" customWidth="1" min="7" max="7"/>
  </cols>
  <sheetData>
    <row r="1" ht="10" customHeight="1">
      <c r="A1" s="1" t="n"/>
      <c r="B1" s="1" t="n"/>
      <c r="C1" s="1" t="n"/>
      <c r="D1" s="1" t="n"/>
      <c r="E1" s="1" t="n"/>
      <c r="F1" s="1" t="n"/>
      <c r="G1" s="1" t="n"/>
    </row>
    <row r="2" ht="40" customHeight="1">
      <c r="A2" s="1" t="n"/>
      <c r="B2" s="1" t="n"/>
      <c r="C2" s="1" t="n"/>
      <c r="D2" s="1" t="n"/>
      <c r="E2" s="1" t="n"/>
      <c r="F2" s="1" t="n"/>
      <c r="G2" s="2" t="inlineStr">
        <is>
          <t>Travel</t>
        </is>
      </c>
    </row>
    <row r="3" ht="14" customHeight="1">
      <c r="A3" s="1" t="n"/>
      <c r="B3" s="1" t="n"/>
      <c r="C3" s="1" t="n"/>
      <c r="D3" s="1" t="n"/>
      <c r="E3" s="1" t="n"/>
      <c r="F3" s="1" t="n"/>
      <c r="G3" s="3">
        <f>"Tax year "&amp;Log!$B$6&amp;"   ·   Powered by BlueLine Advisors"   ·   Powered by BlueLine Advisors</f>
        <v/>
      </c>
    </row>
    <row r="4" ht="10" customHeight="1"/>
    <row r="5" ht="24" customHeight="1">
      <c r="A5" s="11" t="inlineStr">
        <is>
          <t>Trips</t>
        </is>
      </c>
      <c r="B5" s="12" t="n"/>
      <c r="C5" s="12" t="n"/>
      <c r="D5" s="12" t="n"/>
      <c r="E5" s="12" t="n"/>
      <c r="F5" s="12" t="n"/>
      <c r="G5" s="18" t="inlineStr">
        <is>
          <t>the rate and total fill in from the date and purpose</t>
        </is>
      </c>
    </row>
    <row r="6" ht="18" customHeight="1">
      <c r="A6" s="19" t="inlineStr">
        <is>
          <t>DATE</t>
        </is>
      </c>
      <c r="B6" s="20" t="inlineStr">
        <is>
          <t>CLIENT</t>
        </is>
      </c>
      <c r="C6" s="20" t="inlineStr">
        <is>
          <t>DESCRIPTION &amp; DESTINATION</t>
        </is>
      </c>
      <c r="D6" s="21" t="inlineStr">
        <is>
          <t>MILES</t>
        </is>
      </c>
      <c r="E6" s="20" t="inlineStr">
        <is>
          <t>PURPOSE  ▾</t>
        </is>
      </c>
      <c r="F6" s="21" t="inlineStr">
        <is>
          <t>RATE</t>
        </is>
      </c>
      <c r="G6" s="21" t="inlineStr">
        <is>
          <t>TOTAL</t>
        </is>
      </c>
    </row>
    <row r="7" ht="17" customHeight="1">
      <c r="A7" s="29" t="n"/>
      <c r="B7" s="30" t="n"/>
      <c r="C7" s="30" t="n"/>
      <c r="D7" s="31" t="n"/>
      <c r="E7" s="16" t="n"/>
      <c r="F7" s="23">
        <f>IF(OR(A7="",E7=""),"",INDEX(Guide!$B$83:$D$86,MATCH(A7,Guide!$A$83:$A$86,1),MATCH(E7,Guide!$B$82:$D$82,0)))</f>
        <v/>
      </c>
      <c r="G7" s="32">
        <f>IF(F7="","",D7*F7)</f>
        <v/>
      </c>
    </row>
    <row r="8" ht="17" customHeight="1">
      <c r="A8" s="29" t="n"/>
      <c r="B8" s="30" t="n"/>
      <c r="C8" s="30" t="n"/>
      <c r="D8" s="31" t="n"/>
      <c r="E8" s="16" t="n"/>
      <c r="F8" s="23">
        <f>IF(OR(A8="",E8=""),"",INDEX(Guide!$B$83:$D$86,MATCH(A8,Guide!$A$83:$A$86,1),MATCH(E8,Guide!$B$82:$D$82,0)))</f>
        <v/>
      </c>
      <c r="G8" s="32">
        <f>IF(F8="","",D8*F8)</f>
        <v/>
      </c>
    </row>
    <row r="9" ht="17" customHeight="1">
      <c r="A9" s="29" t="n"/>
      <c r="B9" s="30" t="n"/>
      <c r="C9" s="30" t="n"/>
      <c r="D9" s="31" t="n"/>
      <c r="E9" s="16" t="n"/>
      <c r="F9" s="23">
        <f>IF(OR(A9="",E9=""),"",INDEX(Guide!$B$83:$D$86,MATCH(A9,Guide!$A$83:$A$86,1),MATCH(E9,Guide!$B$82:$D$82,0)))</f>
        <v/>
      </c>
      <c r="G9" s="32">
        <f>IF(F9="","",D9*F9)</f>
        <v/>
      </c>
    </row>
    <row r="10" ht="17" customHeight="1">
      <c r="A10" s="29" t="n"/>
      <c r="B10" s="30" t="n"/>
      <c r="C10" s="30" t="n"/>
      <c r="D10" s="31" t="n"/>
      <c r="E10" s="16" t="n"/>
      <c r="F10" s="23">
        <f>IF(OR(A10="",E10=""),"",INDEX(Guide!$B$83:$D$86,MATCH(A10,Guide!$A$83:$A$86,1),MATCH(E10,Guide!$B$82:$D$82,0)))</f>
        <v/>
      </c>
      <c r="G10" s="32">
        <f>IF(F10="","",D10*F10)</f>
        <v/>
      </c>
    </row>
    <row r="11" ht="17" customHeight="1">
      <c r="A11" s="29" t="n"/>
      <c r="B11" s="30" t="n"/>
      <c r="C11" s="30" t="n"/>
      <c r="D11" s="31" t="n"/>
      <c r="E11" s="16" t="n"/>
      <c r="F11" s="23">
        <f>IF(OR(A11="",E11=""),"",INDEX(Guide!$B$83:$D$86,MATCH(A11,Guide!$A$83:$A$86,1),MATCH(E11,Guide!$B$82:$D$82,0)))</f>
        <v/>
      </c>
      <c r="G11" s="32">
        <f>IF(F11="","",D11*F11)</f>
        <v/>
      </c>
    </row>
    <row r="12" ht="17" customHeight="1">
      <c r="A12" s="29" t="n"/>
      <c r="B12" s="30" t="n"/>
      <c r="C12" s="30" t="n"/>
      <c r="D12" s="31" t="n"/>
      <c r="E12" s="16" t="n"/>
      <c r="F12" s="23">
        <f>IF(OR(A12="",E12=""),"",INDEX(Guide!$B$83:$D$86,MATCH(A12,Guide!$A$83:$A$86,1),MATCH(E12,Guide!$B$82:$D$82,0)))</f>
        <v/>
      </c>
      <c r="G12" s="32">
        <f>IF(F12="","",D12*F12)</f>
        <v/>
      </c>
    </row>
    <row r="13" ht="17" customHeight="1">
      <c r="A13" s="29" t="n"/>
      <c r="B13" s="30" t="n"/>
      <c r="C13" s="30" t="n"/>
      <c r="D13" s="31" t="n"/>
      <c r="E13" s="16" t="n"/>
      <c r="F13" s="23">
        <f>IF(OR(A13="",E13=""),"",INDEX(Guide!$B$83:$D$86,MATCH(A13,Guide!$A$83:$A$86,1),MATCH(E13,Guide!$B$82:$D$82,0)))</f>
        <v/>
      </c>
      <c r="G13" s="32">
        <f>IF(F13="","",D13*F13)</f>
        <v/>
      </c>
    </row>
    <row r="14" ht="17" customHeight="1">
      <c r="A14" s="29" t="n"/>
      <c r="B14" s="30" t="n"/>
      <c r="C14" s="30" t="n"/>
      <c r="D14" s="31" t="n"/>
      <c r="E14" s="16" t="n"/>
      <c r="F14" s="23">
        <f>IF(OR(A14="",E14=""),"",INDEX(Guide!$B$83:$D$86,MATCH(A14,Guide!$A$83:$A$86,1),MATCH(E14,Guide!$B$82:$D$82,0)))</f>
        <v/>
      </c>
      <c r="G14" s="32">
        <f>IF(F14="","",D14*F14)</f>
        <v/>
      </c>
    </row>
    <row r="15" ht="17" customHeight="1">
      <c r="A15" s="29" t="n"/>
      <c r="B15" s="30" t="n"/>
      <c r="C15" s="30" t="n"/>
      <c r="D15" s="31" t="n"/>
      <c r="E15" s="16" t="n"/>
      <c r="F15" s="23">
        <f>IF(OR(A15="",E15=""),"",INDEX(Guide!$B$83:$D$86,MATCH(A15,Guide!$A$83:$A$86,1),MATCH(E15,Guide!$B$82:$D$82,0)))</f>
        <v/>
      </c>
      <c r="G15" s="32">
        <f>IF(F15="","",D15*F15)</f>
        <v/>
      </c>
    </row>
    <row r="16" ht="17" customHeight="1">
      <c r="A16" s="29" t="n"/>
      <c r="B16" s="30" t="n"/>
      <c r="C16" s="30" t="n"/>
      <c r="D16" s="31" t="n"/>
      <c r="E16" s="16" t="n"/>
      <c r="F16" s="23">
        <f>IF(OR(A16="",E16=""),"",INDEX(Guide!$B$83:$D$86,MATCH(A16,Guide!$A$83:$A$86,1),MATCH(E16,Guide!$B$82:$D$82,0)))</f>
        <v/>
      </c>
      <c r="G16" s="32">
        <f>IF(F16="","",D16*F16)</f>
        <v/>
      </c>
    </row>
    <row r="17" ht="17" customHeight="1">
      <c r="A17" s="29" t="n"/>
      <c r="B17" s="30" t="n"/>
      <c r="C17" s="30" t="n"/>
      <c r="D17" s="31" t="n"/>
      <c r="E17" s="16" t="n"/>
      <c r="F17" s="23">
        <f>IF(OR(A17="",E17=""),"",INDEX(Guide!$B$83:$D$86,MATCH(A17,Guide!$A$83:$A$86,1),MATCH(E17,Guide!$B$82:$D$82,0)))</f>
        <v/>
      </c>
      <c r="G17" s="32">
        <f>IF(F17="","",D17*F17)</f>
        <v/>
      </c>
    </row>
    <row r="18" ht="17" customHeight="1">
      <c r="A18" s="29" t="n"/>
      <c r="B18" s="30" t="n"/>
      <c r="C18" s="30" t="n"/>
      <c r="D18" s="31" t="n"/>
      <c r="E18" s="16" t="n"/>
      <c r="F18" s="23">
        <f>IF(OR(A18="",E18=""),"",INDEX(Guide!$B$83:$D$86,MATCH(A18,Guide!$A$83:$A$86,1),MATCH(E18,Guide!$B$82:$D$82,0)))</f>
        <v/>
      </c>
      <c r="G18" s="32">
        <f>IF(F18="","",D18*F18)</f>
        <v/>
      </c>
    </row>
    <row r="19" ht="17" customHeight="1">
      <c r="A19" s="29" t="n"/>
      <c r="B19" s="30" t="n"/>
      <c r="C19" s="30" t="n"/>
      <c r="D19" s="31" t="n"/>
      <c r="E19" s="16" t="n"/>
      <c r="F19" s="23">
        <f>IF(OR(A19="",E19=""),"",INDEX(Guide!$B$83:$D$86,MATCH(A19,Guide!$A$83:$A$86,1),MATCH(E19,Guide!$B$82:$D$82,0)))</f>
        <v/>
      </c>
      <c r="G19" s="32">
        <f>IF(F19="","",D19*F19)</f>
        <v/>
      </c>
    </row>
    <row r="20" ht="17" customHeight="1">
      <c r="A20" s="29" t="n"/>
      <c r="B20" s="30" t="n"/>
      <c r="C20" s="30" t="n"/>
      <c r="D20" s="31" t="n"/>
      <c r="E20" s="16" t="n"/>
      <c r="F20" s="23">
        <f>IF(OR(A20="",E20=""),"",INDEX(Guide!$B$83:$D$86,MATCH(A20,Guide!$A$83:$A$86,1),MATCH(E20,Guide!$B$82:$D$82,0)))</f>
        <v/>
      </c>
      <c r="G20" s="32">
        <f>IF(F20="","",D20*F20)</f>
        <v/>
      </c>
    </row>
    <row r="21" ht="17" customHeight="1">
      <c r="A21" s="29" t="n"/>
      <c r="B21" s="30" t="n"/>
      <c r="C21" s="30" t="n"/>
      <c r="D21" s="31" t="n"/>
      <c r="E21" s="16" t="n"/>
      <c r="F21" s="23">
        <f>IF(OR(A21="",E21=""),"",INDEX(Guide!$B$83:$D$86,MATCH(A21,Guide!$A$83:$A$86,1),MATCH(E21,Guide!$B$82:$D$82,0)))</f>
        <v/>
      </c>
      <c r="G21" s="32">
        <f>IF(F21="","",D21*F21)</f>
        <v/>
      </c>
    </row>
    <row r="22" ht="17" customHeight="1">
      <c r="A22" s="29" t="n"/>
      <c r="B22" s="30" t="n"/>
      <c r="C22" s="30" t="n"/>
      <c r="D22" s="31" t="n"/>
      <c r="E22" s="16" t="n"/>
      <c r="F22" s="23">
        <f>IF(OR(A22="",E22=""),"",INDEX(Guide!$B$83:$D$86,MATCH(A22,Guide!$A$83:$A$86,1),MATCH(E22,Guide!$B$82:$D$82,0)))</f>
        <v/>
      </c>
      <c r="G22" s="32">
        <f>IF(F22="","",D22*F22)</f>
        <v/>
      </c>
    </row>
    <row r="23" ht="17" customHeight="1">
      <c r="A23" s="29" t="n"/>
      <c r="B23" s="30" t="n"/>
      <c r="C23" s="30" t="n"/>
      <c r="D23" s="31" t="n"/>
      <c r="E23" s="16" t="n"/>
      <c r="F23" s="23">
        <f>IF(OR(A23="",E23=""),"",INDEX(Guide!$B$83:$D$86,MATCH(A23,Guide!$A$83:$A$86,1),MATCH(E23,Guide!$B$82:$D$82,0)))</f>
        <v/>
      </c>
      <c r="G23" s="32">
        <f>IF(F23="","",D23*F23)</f>
        <v/>
      </c>
    </row>
    <row r="24" ht="17" customHeight="1">
      <c r="A24" s="29" t="n"/>
      <c r="B24" s="30" t="n"/>
      <c r="C24" s="30" t="n"/>
      <c r="D24" s="31" t="n"/>
      <c r="E24" s="16" t="n"/>
      <c r="F24" s="23">
        <f>IF(OR(A24="",E24=""),"",INDEX(Guide!$B$83:$D$86,MATCH(A24,Guide!$A$83:$A$86,1),MATCH(E24,Guide!$B$82:$D$82,0)))</f>
        <v/>
      </c>
      <c r="G24" s="32">
        <f>IF(F24="","",D24*F24)</f>
        <v/>
      </c>
    </row>
    <row r="25" ht="17" customHeight="1">
      <c r="A25" s="29" t="n"/>
      <c r="B25" s="30" t="n"/>
      <c r="C25" s="30" t="n"/>
      <c r="D25" s="31" t="n"/>
      <c r="E25" s="16" t="n"/>
      <c r="F25" s="23">
        <f>IF(OR(A25="",E25=""),"",INDEX(Guide!$B$83:$D$86,MATCH(A25,Guide!$A$83:$A$86,1),MATCH(E25,Guide!$B$82:$D$82,0)))</f>
        <v/>
      </c>
      <c r="G25" s="32">
        <f>IF(F25="","",D25*F25)</f>
        <v/>
      </c>
    </row>
    <row r="26" ht="17" customHeight="1">
      <c r="A26" s="29" t="n"/>
      <c r="B26" s="30" t="n"/>
      <c r="C26" s="30" t="n"/>
      <c r="D26" s="31" t="n"/>
      <c r="E26" s="16" t="n"/>
      <c r="F26" s="23">
        <f>IF(OR(A26="",E26=""),"",INDEX(Guide!$B$83:$D$86,MATCH(A26,Guide!$A$83:$A$86,1),MATCH(E26,Guide!$B$82:$D$82,0)))</f>
        <v/>
      </c>
      <c r="G26" s="32">
        <f>IF(F26="","",D26*F26)</f>
        <v/>
      </c>
    </row>
    <row r="27" ht="17" customHeight="1">
      <c r="A27" s="29" t="n"/>
      <c r="B27" s="30" t="n"/>
      <c r="C27" s="30" t="n"/>
      <c r="D27" s="31" t="n"/>
      <c r="E27" s="16" t="n"/>
      <c r="F27" s="23">
        <f>IF(OR(A27="",E27=""),"",INDEX(Guide!$B$83:$D$86,MATCH(A27,Guide!$A$83:$A$86,1),MATCH(E27,Guide!$B$82:$D$82,0)))</f>
        <v/>
      </c>
      <c r="G27" s="32">
        <f>IF(F27="","",D27*F27)</f>
        <v/>
      </c>
    </row>
    <row r="28" ht="17" customHeight="1">
      <c r="A28" s="29" t="n"/>
      <c r="B28" s="30" t="n"/>
      <c r="C28" s="30" t="n"/>
      <c r="D28" s="31" t="n"/>
      <c r="E28" s="16" t="n"/>
      <c r="F28" s="23">
        <f>IF(OR(A28="",E28=""),"",INDEX(Guide!$B$83:$D$86,MATCH(A28,Guide!$A$83:$A$86,1),MATCH(E28,Guide!$B$82:$D$82,0)))</f>
        <v/>
      </c>
      <c r="G28" s="32">
        <f>IF(F28="","",D28*F28)</f>
        <v/>
      </c>
    </row>
    <row r="29" ht="17" customHeight="1">
      <c r="A29" s="29" t="n"/>
      <c r="B29" s="30" t="n"/>
      <c r="C29" s="30" t="n"/>
      <c r="D29" s="31" t="n"/>
      <c r="E29" s="16" t="n"/>
      <c r="F29" s="23">
        <f>IF(OR(A29="",E29=""),"",INDEX(Guide!$B$83:$D$86,MATCH(A29,Guide!$A$83:$A$86,1),MATCH(E29,Guide!$B$82:$D$82,0)))</f>
        <v/>
      </c>
      <c r="G29" s="32">
        <f>IF(F29="","",D29*F29)</f>
        <v/>
      </c>
    </row>
    <row r="30" ht="17" customHeight="1">
      <c r="A30" s="29" t="n"/>
      <c r="B30" s="30" t="n"/>
      <c r="C30" s="30" t="n"/>
      <c r="D30" s="31" t="n"/>
      <c r="E30" s="16" t="n"/>
      <c r="F30" s="23">
        <f>IF(OR(A30="",E30=""),"",INDEX(Guide!$B$83:$D$86,MATCH(A30,Guide!$A$83:$A$86,1),MATCH(E30,Guide!$B$82:$D$82,0)))</f>
        <v/>
      </c>
      <c r="G30" s="32">
        <f>IF(F30="","",D30*F30)</f>
        <v/>
      </c>
    </row>
    <row r="31" ht="17" customHeight="1">
      <c r="A31" s="29" t="n"/>
      <c r="B31" s="30" t="n"/>
      <c r="C31" s="30" t="n"/>
      <c r="D31" s="31" t="n"/>
      <c r="E31" s="16" t="n"/>
      <c r="F31" s="23">
        <f>IF(OR(A31="",E31=""),"",INDEX(Guide!$B$83:$D$86,MATCH(A31,Guide!$A$83:$A$86,1),MATCH(E31,Guide!$B$82:$D$82,0)))</f>
        <v/>
      </c>
      <c r="G31" s="32">
        <f>IF(F31="","",D31*F31)</f>
        <v/>
      </c>
    </row>
    <row r="32" ht="17" customHeight="1">
      <c r="A32" s="29" t="n"/>
      <c r="B32" s="30" t="n"/>
      <c r="C32" s="30" t="n"/>
      <c r="D32" s="31" t="n"/>
      <c r="E32" s="16" t="n"/>
      <c r="F32" s="23">
        <f>IF(OR(A32="",E32=""),"",INDEX(Guide!$B$83:$D$86,MATCH(A32,Guide!$A$83:$A$86,1),MATCH(E32,Guide!$B$82:$D$82,0)))</f>
        <v/>
      </c>
      <c r="G32" s="32">
        <f>IF(F32="","",D32*F32)</f>
        <v/>
      </c>
    </row>
    <row r="33" ht="17" customHeight="1">
      <c r="A33" s="29" t="n"/>
      <c r="B33" s="30" t="n"/>
      <c r="C33" s="30" t="n"/>
      <c r="D33" s="31" t="n"/>
      <c r="E33" s="16" t="n"/>
      <c r="F33" s="23">
        <f>IF(OR(A33="",E33=""),"",INDEX(Guide!$B$83:$D$86,MATCH(A33,Guide!$A$83:$A$86,1),MATCH(E33,Guide!$B$82:$D$82,0)))</f>
        <v/>
      </c>
      <c r="G33" s="32">
        <f>IF(F33="","",D33*F33)</f>
        <v/>
      </c>
    </row>
    <row r="34" ht="17" customHeight="1">
      <c r="A34" s="29" t="n"/>
      <c r="B34" s="30" t="n"/>
      <c r="C34" s="30" t="n"/>
      <c r="D34" s="31" t="n"/>
      <c r="E34" s="16" t="n"/>
      <c r="F34" s="23">
        <f>IF(OR(A34="",E34=""),"",INDEX(Guide!$B$83:$D$86,MATCH(A34,Guide!$A$83:$A$86,1),MATCH(E34,Guide!$B$82:$D$82,0)))</f>
        <v/>
      </c>
      <c r="G34" s="32">
        <f>IF(F34="","",D34*F34)</f>
        <v/>
      </c>
    </row>
    <row r="35" ht="17" customHeight="1">
      <c r="A35" s="29" t="n"/>
      <c r="B35" s="30" t="n"/>
      <c r="C35" s="30" t="n"/>
      <c r="D35" s="31" t="n"/>
      <c r="E35" s="16" t="n"/>
      <c r="F35" s="23">
        <f>IF(OR(A35="",E35=""),"",INDEX(Guide!$B$83:$D$86,MATCH(A35,Guide!$A$83:$A$86,1),MATCH(E35,Guide!$B$82:$D$82,0)))</f>
        <v/>
      </c>
      <c r="G35" s="32">
        <f>IF(F35="","",D35*F35)</f>
        <v/>
      </c>
    </row>
    <row r="36" ht="17" customHeight="1">
      <c r="A36" s="29" t="n"/>
      <c r="B36" s="30" t="n"/>
      <c r="C36" s="30" t="n"/>
      <c r="D36" s="31" t="n"/>
      <c r="E36" s="16" t="n"/>
      <c r="F36" s="23">
        <f>IF(OR(A36="",E36=""),"",INDEX(Guide!$B$83:$D$86,MATCH(A36,Guide!$A$83:$A$86,1),MATCH(E36,Guide!$B$82:$D$82,0)))</f>
        <v/>
      </c>
      <c r="G36" s="32">
        <f>IF(F36="","",D36*F36)</f>
        <v/>
      </c>
    </row>
    <row r="37" ht="17" customHeight="1">
      <c r="A37" s="29" t="n"/>
      <c r="B37" s="30" t="n"/>
      <c r="C37" s="30" t="n"/>
      <c r="D37" s="31" t="n"/>
      <c r="E37" s="16" t="n"/>
      <c r="F37" s="23">
        <f>IF(OR(A37="",E37=""),"",INDEX(Guide!$B$83:$D$86,MATCH(A37,Guide!$A$83:$A$86,1),MATCH(E37,Guide!$B$82:$D$82,0)))</f>
        <v/>
      </c>
      <c r="G37" s="32">
        <f>IF(F37="","",D37*F37)</f>
        <v/>
      </c>
    </row>
    <row r="38" ht="17" customHeight="1">
      <c r="A38" s="29" t="n"/>
      <c r="B38" s="30" t="n"/>
      <c r="C38" s="30" t="n"/>
      <c r="D38" s="31" t="n"/>
      <c r="E38" s="16" t="n"/>
      <c r="F38" s="23">
        <f>IF(OR(A38="",E38=""),"",INDEX(Guide!$B$83:$D$86,MATCH(A38,Guide!$A$83:$A$86,1),MATCH(E38,Guide!$B$82:$D$82,0)))</f>
        <v/>
      </c>
      <c r="G38" s="32">
        <f>IF(F38="","",D38*F38)</f>
        <v/>
      </c>
    </row>
    <row r="39" ht="17" customHeight="1">
      <c r="A39" s="29" t="n"/>
      <c r="B39" s="30" t="n"/>
      <c r="C39" s="30" t="n"/>
      <c r="D39" s="31" t="n"/>
      <c r="E39" s="16" t="n"/>
      <c r="F39" s="23">
        <f>IF(OR(A39="",E39=""),"",INDEX(Guide!$B$83:$D$86,MATCH(A39,Guide!$A$83:$A$86,1),MATCH(E39,Guide!$B$82:$D$82,0)))</f>
        <v/>
      </c>
      <c r="G39" s="32">
        <f>IF(F39="","",D39*F39)</f>
        <v/>
      </c>
    </row>
    <row r="40" ht="17" customHeight="1">
      <c r="A40" s="29" t="n"/>
      <c r="B40" s="30" t="n"/>
      <c r="C40" s="30" t="n"/>
      <c r="D40" s="31" t="n"/>
      <c r="E40" s="16" t="n"/>
      <c r="F40" s="23">
        <f>IF(OR(A40="",E40=""),"",INDEX(Guide!$B$83:$D$86,MATCH(A40,Guide!$A$83:$A$86,1),MATCH(E40,Guide!$B$82:$D$82,0)))</f>
        <v/>
      </c>
      <c r="G40" s="32">
        <f>IF(F40="","",D40*F40)</f>
        <v/>
      </c>
    </row>
    <row r="41" ht="17" customHeight="1">
      <c r="A41" s="29" t="n"/>
      <c r="B41" s="30" t="n"/>
      <c r="C41" s="30" t="n"/>
      <c r="D41" s="31" t="n"/>
      <c r="E41" s="16" t="n"/>
      <c r="F41" s="23">
        <f>IF(OR(A41="",E41=""),"",INDEX(Guide!$B$83:$D$86,MATCH(A41,Guide!$A$83:$A$86,1),MATCH(E41,Guide!$B$82:$D$82,0)))</f>
        <v/>
      </c>
      <c r="G41" s="32">
        <f>IF(F41="","",D41*F41)</f>
        <v/>
      </c>
    </row>
    <row r="42" ht="17" customHeight="1">
      <c r="A42" s="29" t="n"/>
      <c r="B42" s="30" t="n"/>
      <c r="C42" s="30" t="n"/>
      <c r="D42" s="31" t="n"/>
      <c r="E42" s="16" t="n"/>
      <c r="F42" s="23">
        <f>IF(OR(A42="",E42=""),"",INDEX(Guide!$B$83:$D$86,MATCH(A42,Guide!$A$83:$A$86,1),MATCH(E42,Guide!$B$82:$D$82,0)))</f>
        <v/>
      </c>
      <c r="G42" s="32">
        <f>IF(F42="","",D42*F42)</f>
        <v/>
      </c>
    </row>
    <row r="43" ht="17" customHeight="1">
      <c r="A43" s="29" t="n"/>
      <c r="B43" s="30" t="n"/>
      <c r="C43" s="30" t="n"/>
      <c r="D43" s="31" t="n"/>
      <c r="E43" s="16" t="n"/>
      <c r="F43" s="23">
        <f>IF(OR(A43="",E43=""),"",INDEX(Guide!$B$83:$D$86,MATCH(A43,Guide!$A$83:$A$86,1),MATCH(E43,Guide!$B$82:$D$82,0)))</f>
        <v/>
      </c>
      <c r="G43" s="32">
        <f>IF(F43="","",D43*F43)</f>
        <v/>
      </c>
    </row>
    <row r="44" ht="17" customHeight="1">
      <c r="A44" s="29" t="n"/>
      <c r="B44" s="30" t="n"/>
      <c r="C44" s="30" t="n"/>
      <c r="D44" s="31" t="n"/>
      <c r="E44" s="16" t="n"/>
      <c r="F44" s="23">
        <f>IF(OR(A44="",E44=""),"",INDEX(Guide!$B$83:$D$86,MATCH(A44,Guide!$A$83:$A$86,1),MATCH(E44,Guide!$B$82:$D$82,0)))</f>
        <v/>
      </c>
      <c r="G44" s="32">
        <f>IF(F44="","",D44*F44)</f>
        <v/>
      </c>
    </row>
    <row r="45" ht="17" customHeight="1">
      <c r="A45" s="29" t="n"/>
      <c r="B45" s="30" t="n"/>
      <c r="C45" s="30" t="n"/>
      <c r="D45" s="31" t="n"/>
      <c r="E45" s="16" t="n"/>
      <c r="F45" s="23">
        <f>IF(OR(A45="",E45=""),"",INDEX(Guide!$B$83:$D$86,MATCH(A45,Guide!$A$83:$A$86,1),MATCH(E45,Guide!$B$82:$D$82,0)))</f>
        <v/>
      </c>
      <c r="G45" s="32">
        <f>IF(F45="","",D45*F45)</f>
        <v/>
      </c>
    </row>
    <row r="46" ht="17" customHeight="1">
      <c r="A46" s="29" t="n"/>
      <c r="B46" s="30" t="n"/>
      <c r="C46" s="30" t="n"/>
      <c r="D46" s="31" t="n"/>
      <c r="E46" s="16" t="n"/>
      <c r="F46" s="23">
        <f>IF(OR(A46="",E46=""),"",INDEX(Guide!$B$83:$D$86,MATCH(A46,Guide!$A$83:$A$86,1),MATCH(E46,Guide!$B$82:$D$82,0)))</f>
        <v/>
      </c>
      <c r="G46" s="32">
        <f>IF(F46="","",D46*F46)</f>
        <v/>
      </c>
    </row>
    <row r="47" ht="17" customHeight="1">
      <c r="A47" s="29" t="n"/>
      <c r="B47" s="30" t="n"/>
      <c r="C47" s="30" t="n"/>
      <c r="D47" s="31" t="n"/>
      <c r="E47" s="16" t="n"/>
      <c r="F47" s="23">
        <f>IF(OR(A47="",E47=""),"",INDEX(Guide!$B$83:$D$86,MATCH(A47,Guide!$A$83:$A$86,1),MATCH(E47,Guide!$B$82:$D$82,0)))</f>
        <v/>
      </c>
      <c r="G47" s="32">
        <f>IF(F47="","",D47*F47)</f>
        <v/>
      </c>
    </row>
    <row r="48" ht="17" customHeight="1">
      <c r="A48" s="29" t="n"/>
      <c r="B48" s="30" t="n"/>
      <c r="C48" s="30" t="n"/>
      <c r="D48" s="31" t="n"/>
      <c r="E48" s="16" t="n"/>
      <c r="F48" s="23">
        <f>IF(OR(A48="",E48=""),"",INDEX(Guide!$B$83:$D$86,MATCH(A48,Guide!$A$83:$A$86,1),MATCH(E48,Guide!$B$82:$D$82,0)))</f>
        <v/>
      </c>
      <c r="G48" s="32">
        <f>IF(F48="","",D48*F48)</f>
        <v/>
      </c>
    </row>
    <row r="49" ht="17" customHeight="1">
      <c r="A49" s="29" t="n"/>
      <c r="B49" s="30" t="n"/>
      <c r="C49" s="30" t="n"/>
      <c r="D49" s="31" t="n"/>
      <c r="E49" s="16" t="n"/>
      <c r="F49" s="23">
        <f>IF(OR(A49="",E49=""),"",INDEX(Guide!$B$83:$D$86,MATCH(A49,Guide!$A$83:$A$86,1),MATCH(E49,Guide!$B$82:$D$82,0)))</f>
        <v/>
      </c>
      <c r="G49" s="32">
        <f>IF(F49="","",D49*F49)</f>
        <v/>
      </c>
    </row>
    <row r="50" ht="17" customHeight="1">
      <c r="A50" s="29" t="n"/>
      <c r="B50" s="30" t="n"/>
      <c r="C50" s="30" t="n"/>
      <c r="D50" s="31" t="n"/>
      <c r="E50" s="16" t="n"/>
      <c r="F50" s="23">
        <f>IF(OR(A50="",E50=""),"",INDEX(Guide!$B$83:$D$86,MATCH(A50,Guide!$A$83:$A$86,1),MATCH(E50,Guide!$B$82:$D$82,0)))</f>
        <v/>
      </c>
      <c r="G50" s="32">
        <f>IF(F50="","",D50*F50)</f>
        <v/>
      </c>
    </row>
    <row r="51" ht="17" customHeight="1">
      <c r="A51" s="29" t="n"/>
      <c r="B51" s="30" t="n"/>
      <c r="C51" s="30" t="n"/>
      <c r="D51" s="31" t="n"/>
      <c r="E51" s="16" t="n"/>
      <c r="F51" s="23">
        <f>IF(OR(A51="",E51=""),"",INDEX(Guide!$B$83:$D$86,MATCH(A51,Guide!$A$83:$A$86,1),MATCH(E51,Guide!$B$82:$D$82,0)))</f>
        <v/>
      </c>
      <c r="G51" s="32">
        <f>IF(F51="","",D51*F51)</f>
        <v/>
      </c>
    </row>
    <row r="52" ht="17" customHeight="1">
      <c r="A52" s="29" t="n"/>
      <c r="B52" s="30" t="n"/>
      <c r="C52" s="30" t="n"/>
      <c r="D52" s="31" t="n"/>
      <c r="E52" s="16" t="n"/>
      <c r="F52" s="23">
        <f>IF(OR(A52="",E52=""),"",INDEX(Guide!$B$83:$D$86,MATCH(A52,Guide!$A$83:$A$86,1),MATCH(E52,Guide!$B$82:$D$82,0)))</f>
        <v/>
      </c>
      <c r="G52" s="32">
        <f>IF(F52="","",D52*F52)</f>
        <v/>
      </c>
    </row>
    <row r="53" ht="17" customHeight="1">
      <c r="A53" s="29" t="n"/>
      <c r="B53" s="30" t="n"/>
      <c r="C53" s="30" t="n"/>
      <c r="D53" s="31" t="n"/>
      <c r="E53" s="16" t="n"/>
      <c r="F53" s="23">
        <f>IF(OR(A53="",E53=""),"",INDEX(Guide!$B$83:$D$86,MATCH(A53,Guide!$A$83:$A$86,1),MATCH(E53,Guide!$B$82:$D$82,0)))</f>
        <v/>
      </c>
      <c r="G53" s="32">
        <f>IF(F53="","",D53*F53)</f>
        <v/>
      </c>
    </row>
    <row r="54" ht="17" customHeight="1">
      <c r="A54" s="29" t="n"/>
      <c r="B54" s="30" t="n"/>
      <c r="C54" s="30" t="n"/>
      <c r="D54" s="31" t="n"/>
      <c r="E54" s="16" t="n"/>
      <c r="F54" s="23">
        <f>IF(OR(A54="",E54=""),"",INDEX(Guide!$B$83:$D$86,MATCH(A54,Guide!$A$83:$A$86,1),MATCH(E54,Guide!$B$82:$D$82,0)))</f>
        <v/>
      </c>
      <c r="G54" s="32">
        <f>IF(F54="","",D54*F54)</f>
        <v/>
      </c>
    </row>
    <row r="55" ht="17" customHeight="1">
      <c r="A55" s="29" t="n"/>
      <c r="B55" s="30" t="n"/>
      <c r="C55" s="30" t="n"/>
      <c r="D55" s="31" t="n"/>
      <c r="E55" s="16" t="n"/>
      <c r="F55" s="23">
        <f>IF(OR(A55="",E55=""),"",INDEX(Guide!$B$83:$D$86,MATCH(A55,Guide!$A$83:$A$86,1),MATCH(E55,Guide!$B$82:$D$82,0)))</f>
        <v/>
      </c>
      <c r="G55" s="32">
        <f>IF(F55="","",D55*F55)</f>
        <v/>
      </c>
    </row>
    <row r="56" ht="17" customHeight="1">
      <c r="A56" s="29" t="n"/>
      <c r="B56" s="30" t="n"/>
      <c r="C56" s="30" t="n"/>
      <c r="D56" s="31" t="n"/>
      <c r="E56" s="16" t="n"/>
      <c r="F56" s="23">
        <f>IF(OR(A56="",E56=""),"",INDEX(Guide!$B$83:$D$86,MATCH(A56,Guide!$A$83:$A$86,1),MATCH(E56,Guide!$B$82:$D$82,0)))</f>
        <v/>
      </c>
      <c r="G56" s="32">
        <f>IF(F56="","",D56*F56)</f>
        <v/>
      </c>
    </row>
    <row r="57" ht="17" customHeight="1">
      <c r="A57" s="29" t="n"/>
      <c r="B57" s="30" t="n"/>
      <c r="C57" s="30" t="n"/>
      <c r="D57" s="31" t="n"/>
      <c r="E57" s="16" t="n"/>
      <c r="F57" s="23">
        <f>IF(OR(A57="",E57=""),"",INDEX(Guide!$B$83:$D$86,MATCH(A57,Guide!$A$83:$A$86,1),MATCH(E57,Guide!$B$82:$D$82,0)))</f>
        <v/>
      </c>
      <c r="G57" s="32">
        <f>IF(F57="","",D57*F57)</f>
        <v/>
      </c>
    </row>
    <row r="58" ht="17" customHeight="1">
      <c r="A58" s="29" t="n"/>
      <c r="B58" s="30" t="n"/>
      <c r="C58" s="30" t="n"/>
      <c r="D58" s="31" t="n"/>
      <c r="E58" s="16" t="n"/>
      <c r="F58" s="23">
        <f>IF(OR(A58="",E58=""),"",INDEX(Guide!$B$83:$D$86,MATCH(A58,Guide!$A$83:$A$86,1),MATCH(E58,Guide!$B$82:$D$82,0)))</f>
        <v/>
      </c>
      <c r="G58" s="32">
        <f>IF(F58="","",D58*F58)</f>
        <v/>
      </c>
    </row>
    <row r="59" ht="17" customHeight="1">
      <c r="A59" s="29" t="n"/>
      <c r="B59" s="30" t="n"/>
      <c r="C59" s="30" t="n"/>
      <c r="D59" s="31" t="n"/>
      <c r="E59" s="16" t="n"/>
      <c r="F59" s="23">
        <f>IF(OR(A59="",E59=""),"",INDEX(Guide!$B$83:$D$86,MATCH(A59,Guide!$A$83:$A$86,1),MATCH(E59,Guide!$B$82:$D$82,0)))</f>
        <v/>
      </c>
      <c r="G59" s="32">
        <f>IF(F59="","",D59*F59)</f>
        <v/>
      </c>
    </row>
    <row r="60" ht="17" customHeight="1">
      <c r="A60" s="29" t="n"/>
      <c r="B60" s="30" t="n"/>
      <c r="C60" s="30" t="n"/>
      <c r="D60" s="31" t="n"/>
      <c r="E60" s="16" t="n"/>
      <c r="F60" s="23">
        <f>IF(OR(A60="",E60=""),"",INDEX(Guide!$B$83:$D$86,MATCH(A60,Guide!$A$83:$A$86,1),MATCH(E60,Guide!$B$82:$D$82,0)))</f>
        <v/>
      </c>
      <c r="G60" s="32">
        <f>IF(F60="","",D60*F60)</f>
        <v/>
      </c>
    </row>
    <row r="61" ht="17" customHeight="1">
      <c r="A61" s="29" t="n"/>
      <c r="B61" s="30" t="n"/>
      <c r="C61" s="30" t="n"/>
      <c r="D61" s="31" t="n"/>
      <c r="E61" s="16" t="n"/>
      <c r="F61" s="23">
        <f>IF(OR(A61="",E61=""),"",INDEX(Guide!$B$83:$D$86,MATCH(A61,Guide!$A$83:$A$86,1),MATCH(E61,Guide!$B$82:$D$82,0)))</f>
        <v/>
      </c>
      <c r="G61" s="32">
        <f>IF(F61="","",D61*F61)</f>
        <v/>
      </c>
    </row>
    <row r="62" ht="17" customHeight="1">
      <c r="A62" s="29" t="n"/>
      <c r="B62" s="30" t="n"/>
      <c r="C62" s="30" t="n"/>
      <c r="D62" s="31" t="n"/>
      <c r="E62" s="16" t="n"/>
      <c r="F62" s="23">
        <f>IF(OR(A62="",E62=""),"",INDEX(Guide!$B$83:$D$86,MATCH(A62,Guide!$A$83:$A$86,1),MATCH(E62,Guide!$B$82:$D$82,0)))</f>
        <v/>
      </c>
      <c r="G62" s="32">
        <f>IF(F62="","",D62*F62)</f>
        <v/>
      </c>
    </row>
    <row r="63" ht="17" customHeight="1">
      <c r="A63" s="29" t="n"/>
      <c r="B63" s="30" t="n"/>
      <c r="C63" s="30" t="n"/>
      <c r="D63" s="31" t="n"/>
      <c r="E63" s="16" t="n"/>
      <c r="F63" s="23">
        <f>IF(OR(A63="",E63=""),"",INDEX(Guide!$B$83:$D$86,MATCH(A63,Guide!$A$83:$A$86,1),MATCH(E63,Guide!$B$82:$D$82,0)))</f>
        <v/>
      </c>
      <c r="G63" s="32">
        <f>IF(F63="","",D63*F63)</f>
        <v/>
      </c>
    </row>
    <row r="64" ht="17" customHeight="1">
      <c r="A64" s="29" t="n"/>
      <c r="B64" s="30" t="n"/>
      <c r="C64" s="30" t="n"/>
      <c r="D64" s="31" t="n"/>
      <c r="E64" s="16" t="n"/>
      <c r="F64" s="23">
        <f>IF(OR(A64="",E64=""),"",INDEX(Guide!$B$83:$D$86,MATCH(A64,Guide!$A$83:$A$86,1),MATCH(E64,Guide!$B$82:$D$82,0)))</f>
        <v/>
      </c>
      <c r="G64" s="32">
        <f>IF(F64="","",D64*F64)</f>
        <v/>
      </c>
    </row>
    <row r="65" ht="17" customHeight="1">
      <c r="A65" s="29" t="n"/>
      <c r="B65" s="30" t="n"/>
      <c r="C65" s="30" t="n"/>
      <c r="D65" s="31" t="n"/>
      <c r="E65" s="16" t="n"/>
      <c r="F65" s="23">
        <f>IF(OR(A65="",E65=""),"",INDEX(Guide!$B$83:$D$86,MATCH(A65,Guide!$A$83:$A$86,1),MATCH(E65,Guide!$B$82:$D$82,0)))</f>
        <v/>
      </c>
      <c r="G65" s="32">
        <f>IF(F65="","",D65*F65)</f>
        <v/>
      </c>
    </row>
    <row r="66" ht="17" customHeight="1">
      <c r="A66" s="29" t="n"/>
      <c r="B66" s="30" t="n"/>
      <c r="C66" s="30" t="n"/>
      <c r="D66" s="31" t="n"/>
      <c r="E66" s="16" t="n"/>
      <c r="F66" s="23">
        <f>IF(OR(A66="",E66=""),"",INDEX(Guide!$B$83:$D$86,MATCH(A66,Guide!$A$83:$A$86,1),MATCH(E66,Guide!$B$82:$D$82,0)))</f>
        <v/>
      </c>
      <c r="G66" s="32">
        <f>IF(F66="","",D66*F66)</f>
        <v/>
      </c>
    </row>
    <row r="67" ht="17" customHeight="1">
      <c r="A67" s="29" t="n"/>
      <c r="B67" s="30" t="n"/>
      <c r="C67" s="30" t="n"/>
      <c r="D67" s="31" t="n"/>
      <c r="E67" s="16" t="n"/>
      <c r="F67" s="23">
        <f>IF(OR(A67="",E67=""),"",INDEX(Guide!$B$83:$D$86,MATCH(A67,Guide!$A$83:$A$86,1),MATCH(E67,Guide!$B$82:$D$82,0)))</f>
        <v/>
      </c>
      <c r="G67" s="32">
        <f>IF(F67="","",D67*F67)</f>
        <v/>
      </c>
    </row>
    <row r="68" ht="17" customHeight="1">
      <c r="A68" s="29" t="n"/>
      <c r="B68" s="30" t="n"/>
      <c r="C68" s="30" t="n"/>
      <c r="D68" s="31" t="n"/>
      <c r="E68" s="16" t="n"/>
      <c r="F68" s="23">
        <f>IF(OR(A68="",E68=""),"",INDEX(Guide!$B$83:$D$86,MATCH(A68,Guide!$A$83:$A$86,1),MATCH(E68,Guide!$B$82:$D$82,0)))</f>
        <v/>
      </c>
      <c r="G68" s="32">
        <f>IF(F68="","",D68*F68)</f>
        <v/>
      </c>
    </row>
    <row r="69" ht="17" customHeight="1">
      <c r="A69" s="29" t="n"/>
      <c r="B69" s="30" t="n"/>
      <c r="C69" s="30" t="n"/>
      <c r="D69" s="31" t="n"/>
      <c r="E69" s="16" t="n"/>
      <c r="F69" s="23">
        <f>IF(OR(A69="",E69=""),"",INDEX(Guide!$B$83:$D$86,MATCH(A69,Guide!$A$83:$A$86,1),MATCH(E69,Guide!$B$82:$D$82,0)))</f>
        <v/>
      </c>
      <c r="G69" s="32">
        <f>IF(F69="","",D69*F69)</f>
        <v/>
      </c>
    </row>
    <row r="70" ht="17" customHeight="1">
      <c r="A70" s="29" t="n"/>
      <c r="B70" s="30" t="n"/>
      <c r="C70" s="30" t="n"/>
      <c r="D70" s="31" t="n"/>
      <c r="E70" s="16" t="n"/>
      <c r="F70" s="23">
        <f>IF(OR(A70="",E70=""),"",INDEX(Guide!$B$83:$D$86,MATCH(A70,Guide!$A$83:$A$86,1),MATCH(E70,Guide!$B$82:$D$82,0)))</f>
        <v/>
      </c>
      <c r="G70" s="32">
        <f>IF(F70="","",D70*F70)</f>
        <v/>
      </c>
    </row>
    <row r="71" ht="17" customHeight="1">
      <c r="A71" s="29" t="n"/>
      <c r="B71" s="30" t="n"/>
      <c r="C71" s="30" t="n"/>
      <c r="D71" s="31" t="n"/>
      <c r="E71" s="16" t="n"/>
      <c r="F71" s="23">
        <f>IF(OR(A71="",E71=""),"",INDEX(Guide!$B$83:$D$86,MATCH(A71,Guide!$A$83:$A$86,1),MATCH(E71,Guide!$B$82:$D$82,0)))</f>
        <v/>
      </c>
      <c r="G71" s="32">
        <f>IF(F71="","",D71*F71)</f>
        <v/>
      </c>
    </row>
    <row r="72" ht="17" customHeight="1">
      <c r="A72" s="29" t="n"/>
      <c r="B72" s="30" t="n"/>
      <c r="C72" s="30" t="n"/>
      <c r="D72" s="31" t="n"/>
      <c r="E72" s="16" t="n"/>
      <c r="F72" s="23">
        <f>IF(OR(A72="",E72=""),"",INDEX(Guide!$B$83:$D$86,MATCH(A72,Guide!$A$83:$A$86,1),MATCH(E72,Guide!$B$82:$D$82,0)))</f>
        <v/>
      </c>
      <c r="G72" s="32">
        <f>IF(F72="","",D72*F72)</f>
        <v/>
      </c>
    </row>
    <row r="73" ht="17" customHeight="1">
      <c r="A73" s="29" t="n"/>
      <c r="B73" s="30" t="n"/>
      <c r="C73" s="30" t="n"/>
      <c r="D73" s="31" t="n"/>
      <c r="E73" s="16" t="n"/>
      <c r="F73" s="23">
        <f>IF(OR(A73="",E73=""),"",INDEX(Guide!$B$83:$D$86,MATCH(A73,Guide!$A$83:$A$86,1),MATCH(E73,Guide!$B$82:$D$82,0)))</f>
        <v/>
      </c>
      <c r="G73" s="32">
        <f>IF(F73="","",D73*F73)</f>
        <v/>
      </c>
    </row>
    <row r="74" ht="17" customHeight="1">
      <c r="A74" s="29" t="n"/>
      <c r="B74" s="30" t="n"/>
      <c r="C74" s="30" t="n"/>
      <c r="D74" s="31" t="n"/>
      <c r="E74" s="16" t="n"/>
      <c r="F74" s="23">
        <f>IF(OR(A74="",E74=""),"",INDEX(Guide!$B$83:$D$86,MATCH(A74,Guide!$A$83:$A$86,1),MATCH(E74,Guide!$B$82:$D$82,0)))</f>
        <v/>
      </c>
      <c r="G74" s="32">
        <f>IF(F74="","",D74*F74)</f>
        <v/>
      </c>
    </row>
    <row r="75" ht="17" customHeight="1">
      <c r="A75" s="29" t="n"/>
      <c r="B75" s="30" t="n"/>
      <c r="C75" s="30" t="n"/>
      <c r="D75" s="31" t="n"/>
      <c r="E75" s="16" t="n"/>
      <c r="F75" s="23">
        <f>IF(OR(A75="",E75=""),"",INDEX(Guide!$B$83:$D$86,MATCH(A75,Guide!$A$83:$A$86,1),MATCH(E75,Guide!$B$82:$D$82,0)))</f>
        <v/>
      </c>
      <c r="G75" s="32">
        <f>IF(F75="","",D75*F75)</f>
        <v/>
      </c>
    </row>
    <row r="76" ht="17" customHeight="1">
      <c r="A76" s="29" t="n"/>
      <c r="B76" s="30" t="n"/>
      <c r="C76" s="30" t="n"/>
      <c r="D76" s="31" t="n"/>
      <c r="E76" s="16" t="n"/>
      <c r="F76" s="23">
        <f>IF(OR(A76="",E76=""),"",INDEX(Guide!$B$83:$D$86,MATCH(A76,Guide!$A$83:$A$86,1),MATCH(E76,Guide!$B$82:$D$82,0)))</f>
        <v/>
      </c>
      <c r="G76" s="32">
        <f>IF(F76="","",D76*F76)</f>
        <v/>
      </c>
    </row>
    <row r="77" ht="17" customHeight="1">
      <c r="A77" s="29" t="n"/>
      <c r="B77" s="30" t="n"/>
      <c r="C77" s="30" t="n"/>
      <c r="D77" s="31" t="n"/>
      <c r="E77" s="16" t="n"/>
      <c r="F77" s="23">
        <f>IF(OR(A77="",E77=""),"",INDEX(Guide!$B$83:$D$86,MATCH(A77,Guide!$A$83:$A$86,1),MATCH(E77,Guide!$B$82:$D$82,0)))</f>
        <v/>
      </c>
      <c r="G77" s="32">
        <f>IF(F77="","",D77*F77)</f>
        <v/>
      </c>
    </row>
    <row r="78" ht="17" customHeight="1">
      <c r="A78" s="29" t="n"/>
      <c r="B78" s="30" t="n"/>
      <c r="C78" s="30" t="n"/>
      <c r="D78" s="31" t="n"/>
      <c r="E78" s="16" t="n"/>
      <c r="F78" s="23">
        <f>IF(OR(A78="",E78=""),"",INDEX(Guide!$B$83:$D$86,MATCH(A78,Guide!$A$83:$A$86,1),MATCH(E78,Guide!$B$82:$D$82,0)))</f>
        <v/>
      </c>
      <c r="G78" s="32">
        <f>IF(F78="","",D78*F78)</f>
        <v/>
      </c>
    </row>
    <row r="79" ht="17" customHeight="1">
      <c r="A79" s="29" t="n"/>
      <c r="B79" s="30" t="n"/>
      <c r="C79" s="30" t="n"/>
      <c r="D79" s="31" t="n"/>
      <c r="E79" s="16" t="n"/>
      <c r="F79" s="23">
        <f>IF(OR(A79="",E79=""),"",INDEX(Guide!$B$83:$D$86,MATCH(A79,Guide!$A$83:$A$86,1),MATCH(E79,Guide!$B$82:$D$82,0)))</f>
        <v/>
      </c>
      <c r="G79" s="32">
        <f>IF(F79="","",D79*F79)</f>
        <v/>
      </c>
    </row>
    <row r="80" ht="17" customHeight="1">
      <c r="A80" s="29" t="n"/>
      <c r="B80" s="30" t="n"/>
      <c r="C80" s="30" t="n"/>
      <c r="D80" s="31" t="n"/>
      <c r="E80" s="16" t="n"/>
      <c r="F80" s="23">
        <f>IF(OR(A80="",E80=""),"",INDEX(Guide!$B$83:$D$86,MATCH(A80,Guide!$A$83:$A$86,1),MATCH(E80,Guide!$B$82:$D$82,0)))</f>
        <v/>
      </c>
      <c r="G80" s="32">
        <f>IF(F80="","",D80*F80)</f>
        <v/>
      </c>
    </row>
    <row r="81" ht="17" customHeight="1">
      <c r="A81" s="29" t="n"/>
      <c r="B81" s="30" t="n"/>
      <c r="C81" s="30" t="n"/>
      <c r="D81" s="31" t="n"/>
      <c r="E81" s="16" t="n"/>
      <c r="F81" s="23">
        <f>IF(OR(A81="",E81=""),"",INDEX(Guide!$B$83:$D$86,MATCH(A81,Guide!$A$83:$A$86,1),MATCH(E81,Guide!$B$82:$D$82,0)))</f>
        <v/>
      </c>
      <c r="G81" s="32">
        <f>IF(F81="","",D81*F81)</f>
        <v/>
      </c>
    </row>
    <row r="82" ht="17" customHeight="1">
      <c r="A82" s="29" t="n"/>
      <c r="B82" s="30" t="n"/>
      <c r="C82" s="30" t="n"/>
      <c r="D82" s="31" t="n"/>
      <c r="E82" s="16" t="n"/>
      <c r="F82" s="23">
        <f>IF(OR(A82="",E82=""),"",INDEX(Guide!$B$83:$D$86,MATCH(A82,Guide!$A$83:$A$86,1),MATCH(E82,Guide!$B$82:$D$82,0)))</f>
        <v/>
      </c>
      <c r="G82" s="32">
        <f>IF(F82="","",D82*F82)</f>
        <v/>
      </c>
    </row>
    <row r="83" ht="17" customHeight="1">
      <c r="A83" s="29" t="n"/>
      <c r="B83" s="30" t="n"/>
      <c r="C83" s="30" t="n"/>
      <c r="D83" s="31" t="n"/>
      <c r="E83" s="16" t="n"/>
      <c r="F83" s="23">
        <f>IF(OR(A83="",E83=""),"",INDEX(Guide!$B$83:$D$86,MATCH(A83,Guide!$A$83:$A$86,1),MATCH(E83,Guide!$B$82:$D$82,0)))</f>
        <v/>
      </c>
      <c r="G83" s="32">
        <f>IF(F83="","",D83*F83)</f>
        <v/>
      </c>
    </row>
    <row r="84" ht="17" customHeight="1">
      <c r="A84" s="29" t="n"/>
      <c r="B84" s="30" t="n"/>
      <c r="C84" s="30" t="n"/>
      <c r="D84" s="31" t="n"/>
      <c r="E84" s="16" t="n"/>
      <c r="F84" s="23">
        <f>IF(OR(A84="",E84=""),"",INDEX(Guide!$B$83:$D$86,MATCH(A84,Guide!$A$83:$A$86,1),MATCH(E84,Guide!$B$82:$D$82,0)))</f>
        <v/>
      </c>
      <c r="G84" s="32">
        <f>IF(F84="","",D84*F84)</f>
        <v/>
      </c>
    </row>
    <row r="85" ht="17" customHeight="1">
      <c r="A85" s="29" t="n"/>
      <c r="B85" s="30" t="n"/>
      <c r="C85" s="30" t="n"/>
      <c r="D85" s="31" t="n"/>
      <c r="E85" s="16" t="n"/>
      <c r="F85" s="23">
        <f>IF(OR(A85="",E85=""),"",INDEX(Guide!$B$83:$D$86,MATCH(A85,Guide!$A$83:$A$86,1),MATCH(E85,Guide!$B$82:$D$82,0)))</f>
        <v/>
      </c>
      <c r="G85" s="32">
        <f>IF(F85="","",D85*F85)</f>
        <v/>
      </c>
    </row>
    <row r="86" ht="17" customHeight="1">
      <c r="A86" s="29" t="n"/>
      <c r="B86" s="30" t="n"/>
      <c r="C86" s="30" t="n"/>
      <c r="D86" s="31" t="n"/>
      <c r="E86" s="16" t="n"/>
      <c r="F86" s="23">
        <f>IF(OR(A86="",E86=""),"",INDEX(Guide!$B$83:$D$86,MATCH(A86,Guide!$A$83:$A$86,1),MATCH(E86,Guide!$B$82:$D$82,0)))</f>
        <v/>
      </c>
      <c r="G86" s="32">
        <f>IF(F86="","",D86*F86)</f>
        <v/>
      </c>
    </row>
    <row r="87" ht="17" customHeight="1">
      <c r="A87" s="29" t="n"/>
      <c r="B87" s="30" t="n"/>
      <c r="C87" s="30" t="n"/>
      <c r="D87" s="31" t="n"/>
      <c r="E87" s="16" t="n"/>
      <c r="F87" s="23">
        <f>IF(OR(A87="",E87=""),"",INDEX(Guide!$B$83:$D$86,MATCH(A87,Guide!$A$83:$A$86,1),MATCH(E87,Guide!$B$82:$D$82,0)))</f>
        <v/>
      </c>
      <c r="G87" s="32">
        <f>IF(F87="","",D87*F87)</f>
        <v/>
      </c>
    </row>
    <row r="88" ht="17" customHeight="1">
      <c r="A88" s="29" t="n"/>
      <c r="B88" s="30" t="n"/>
      <c r="C88" s="30" t="n"/>
      <c r="D88" s="31" t="n"/>
      <c r="E88" s="16" t="n"/>
      <c r="F88" s="23">
        <f>IF(OR(A88="",E88=""),"",INDEX(Guide!$B$83:$D$86,MATCH(A88,Guide!$A$83:$A$86,1),MATCH(E88,Guide!$B$82:$D$82,0)))</f>
        <v/>
      </c>
      <c r="G88" s="32">
        <f>IF(F88="","",D88*F88)</f>
        <v/>
      </c>
    </row>
    <row r="89" ht="17" customHeight="1">
      <c r="A89" s="29" t="n"/>
      <c r="B89" s="30" t="n"/>
      <c r="C89" s="30" t="n"/>
      <c r="D89" s="31" t="n"/>
      <c r="E89" s="16" t="n"/>
      <c r="F89" s="23">
        <f>IF(OR(A89="",E89=""),"",INDEX(Guide!$B$83:$D$86,MATCH(A89,Guide!$A$83:$A$86,1),MATCH(E89,Guide!$B$82:$D$82,0)))</f>
        <v/>
      </c>
      <c r="G89" s="32">
        <f>IF(F89="","",D89*F89)</f>
        <v/>
      </c>
    </row>
    <row r="90" ht="17" customHeight="1">
      <c r="A90" s="29" t="n"/>
      <c r="B90" s="30" t="n"/>
      <c r="C90" s="30" t="n"/>
      <c r="D90" s="31" t="n"/>
      <c r="E90" s="16" t="n"/>
      <c r="F90" s="23">
        <f>IF(OR(A90="",E90=""),"",INDEX(Guide!$B$83:$D$86,MATCH(A90,Guide!$A$83:$A$86,1),MATCH(E90,Guide!$B$82:$D$82,0)))</f>
        <v/>
      </c>
      <c r="G90" s="32">
        <f>IF(F90="","",D90*F90)</f>
        <v/>
      </c>
    </row>
    <row r="91" ht="17" customHeight="1">
      <c r="A91" s="29" t="n"/>
      <c r="B91" s="30" t="n"/>
      <c r="C91" s="30" t="n"/>
      <c r="D91" s="31" t="n"/>
      <c r="E91" s="16" t="n"/>
      <c r="F91" s="23">
        <f>IF(OR(A91="",E91=""),"",INDEX(Guide!$B$83:$D$86,MATCH(A91,Guide!$A$83:$A$86,1),MATCH(E91,Guide!$B$82:$D$82,0)))</f>
        <v/>
      </c>
      <c r="G91" s="32">
        <f>IF(F91="","",D91*F91)</f>
        <v/>
      </c>
    </row>
    <row r="92" ht="17" customHeight="1">
      <c r="A92" s="29" t="n"/>
      <c r="B92" s="30" t="n"/>
      <c r="C92" s="30" t="n"/>
      <c r="D92" s="31" t="n"/>
      <c r="E92" s="16" t="n"/>
      <c r="F92" s="23">
        <f>IF(OR(A92="",E92=""),"",INDEX(Guide!$B$83:$D$86,MATCH(A92,Guide!$A$83:$A$86,1),MATCH(E92,Guide!$B$82:$D$82,0)))</f>
        <v/>
      </c>
      <c r="G92" s="32">
        <f>IF(F92="","",D92*F92)</f>
        <v/>
      </c>
    </row>
    <row r="93" ht="17" customHeight="1">
      <c r="A93" s="29" t="n"/>
      <c r="B93" s="30" t="n"/>
      <c r="C93" s="30" t="n"/>
      <c r="D93" s="31" t="n"/>
      <c r="E93" s="16" t="n"/>
      <c r="F93" s="23">
        <f>IF(OR(A93="",E93=""),"",INDEX(Guide!$B$83:$D$86,MATCH(A93,Guide!$A$83:$A$86,1),MATCH(E93,Guide!$B$82:$D$82,0)))</f>
        <v/>
      </c>
      <c r="G93" s="32">
        <f>IF(F93="","",D93*F93)</f>
        <v/>
      </c>
    </row>
    <row r="94" ht="17" customHeight="1">
      <c r="A94" s="29" t="n"/>
      <c r="B94" s="30" t="n"/>
      <c r="C94" s="30" t="n"/>
      <c r="D94" s="31" t="n"/>
      <c r="E94" s="16" t="n"/>
      <c r="F94" s="23">
        <f>IF(OR(A94="",E94=""),"",INDEX(Guide!$B$83:$D$86,MATCH(A94,Guide!$A$83:$A$86,1),MATCH(E94,Guide!$B$82:$D$82,0)))</f>
        <v/>
      </c>
      <c r="G94" s="32">
        <f>IF(F94="","",D94*F94)</f>
        <v/>
      </c>
    </row>
    <row r="95" ht="17" customHeight="1">
      <c r="A95" s="29" t="n"/>
      <c r="B95" s="30" t="n"/>
      <c r="C95" s="30" t="n"/>
      <c r="D95" s="31" t="n"/>
      <c r="E95" s="16" t="n"/>
      <c r="F95" s="23">
        <f>IF(OR(A95="",E95=""),"",INDEX(Guide!$B$83:$D$86,MATCH(A95,Guide!$A$83:$A$86,1),MATCH(E95,Guide!$B$82:$D$82,0)))</f>
        <v/>
      </c>
      <c r="G95" s="32">
        <f>IF(F95="","",D95*F95)</f>
        <v/>
      </c>
    </row>
    <row r="96" ht="17" customHeight="1">
      <c r="A96" s="29" t="n"/>
      <c r="B96" s="30" t="n"/>
      <c r="C96" s="30" t="n"/>
      <c r="D96" s="31" t="n"/>
      <c r="E96" s="16" t="n"/>
      <c r="F96" s="23">
        <f>IF(OR(A96="",E96=""),"",INDEX(Guide!$B$83:$D$86,MATCH(A96,Guide!$A$83:$A$86,1),MATCH(E96,Guide!$B$82:$D$82,0)))</f>
        <v/>
      </c>
      <c r="G96" s="32">
        <f>IF(F96="","",D96*F96)</f>
        <v/>
      </c>
    </row>
    <row r="97" ht="17" customHeight="1">
      <c r="A97" s="29" t="n"/>
      <c r="B97" s="30" t="n"/>
      <c r="C97" s="30" t="n"/>
      <c r="D97" s="31" t="n"/>
      <c r="E97" s="16" t="n"/>
      <c r="F97" s="23">
        <f>IF(OR(A97="",E97=""),"",INDEX(Guide!$B$83:$D$86,MATCH(A97,Guide!$A$83:$A$86,1),MATCH(E97,Guide!$B$82:$D$82,0)))</f>
        <v/>
      </c>
      <c r="G97" s="32">
        <f>IF(F97="","",D97*F97)</f>
        <v/>
      </c>
    </row>
    <row r="98" ht="17" customHeight="1">
      <c r="A98" s="29" t="n"/>
      <c r="B98" s="30" t="n"/>
      <c r="C98" s="30" t="n"/>
      <c r="D98" s="31" t="n"/>
      <c r="E98" s="16" t="n"/>
      <c r="F98" s="23">
        <f>IF(OR(A98="",E98=""),"",INDEX(Guide!$B$83:$D$86,MATCH(A98,Guide!$A$83:$A$86,1),MATCH(E98,Guide!$B$82:$D$82,0)))</f>
        <v/>
      </c>
      <c r="G98" s="32">
        <f>IF(F98="","",D98*F98)</f>
        <v/>
      </c>
    </row>
    <row r="99" ht="17" customHeight="1">
      <c r="A99" s="29" t="n"/>
      <c r="B99" s="30" t="n"/>
      <c r="C99" s="30" t="n"/>
      <c r="D99" s="31" t="n"/>
      <c r="E99" s="16" t="n"/>
      <c r="F99" s="23">
        <f>IF(OR(A99="",E99=""),"",INDEX(Guide!$B$83:$D$86,MATCH(A99,Guide!$A$83:$A$86,1),MATCH(E99,Guide!$B$82:$D$82,0)))</f>
        <v/>
      </c>
      <c r="G99" s="32">
        <f>IF(F99="","",D99*F99)</f>
        <v/>
      </c>
    </row>
    <row r="100" ht="17" customHeight="1">
      <c r="A100" s="29" t="n"/>
      <c r="B100" s="30" t="n"/>
      <c r="C100" s="30" t="n"/>
      <c r="D100" s="31" t="n"/>
      <c r="E100" s="16" t="n"/>
      <c r="F100" s="23">
        <f>IF(OR(A100="",E100=""),"",INDEX(Guide!$B$83:$D$86,MATCH(A100,Guide!$A$83:$A$86,1),MATCH(E100,Guide!$B$82:$D$82,0)))</f>
        <v/>
      </c>
      <c r="G100" s="32">
        <f>IF(F100="","",D100*F100)</f>
        <v/>
      </c>
    </row>
    <row r="101" ht="17" customHeight="1">
      <c r="A101" s="29" t="n"/>
      <c r="B101" s="30" t="n"/>
      <c r="C101" s="30" t="n"/>
      <c r="D101" s="31" t="n"/>
      <c r="E101" s="16" t="n"/>
      <c r="F101" s="23">
        <f>IF(OR(A101="",E101=""),"",INDEX(Guide!$B$83:$D$86,MATCH(A101,Guide!$A$83:$A$86,1),MATCH(E101,Guide!$B$82:$D$82,0)))</f>
        <v/>
      </c>
      <c r="G101" s="32">
        <f>IF(F101="","",D101*F101)</f>
        <v/>
      </c>
    </row>
    <row r="102" ht="17" customHeight="1">
      <c r="A102" s="29" t="n"/>
      <c r="B102" s="30" t="n"/>
      <c r="C102" s="30" t="n"/>
      <c r="D102" s="31" t="n"/>
      <c r="E102" s="16" t="n"/>
      <c r="F102" s="23">
        <f>IF(OR(A102="",E102=""),"",INDEX(Guide!$B$83:$D$86,MATCH(A102,Guide!$A$83:$A$86,1),MATCH(E102,Guide!$B$82:$D$82,0)))</f>
        <v/>
      </c>
      <c r="G102" s="32">
        <f>IF(F102="","",D102*F102)</f>
        <v/>
      </c>
    </row>
    <row r="103" ht="17" customHeight="1">
      <c r="A103" s="29" t="n"/>
      <c r="B103" s="30" t="n"/>
      <c r="C103" s="30" t="n"/>
      <c r="D103" s="31" t="n"/>
      <c r="E103" s="16" t="n"/>
      <c r="F103" s="23">
        <f>IF(OR(A103="",E103=""),"",INDEX(Guide!$B$83:$D$86,MATCH(A103,Guide!$A$83:$A$86,1),MATCH(E103,Guide!$B$82:$D$82,0)))</f>
        <v/>
      </c>
      <c r="G103" s="32">
        <f>IF(F103="","",D103*F103)</f>
        <v/>
      </c>
    </row>
    <row r="104" ht="17" customHeight="1">
      <c r="A104" s="29" t="n"/>
      <c r="B104" s="30" t="n"/>
      <c r="C104" s="30" t="n"/>
      <c r="D104" s="31" t="n"/>
      <c r="E104" s="16" t="n"/>
      <c r="F104" s="23">
        <f>IF(OR(A104="",E104=""),"",INDEX(Guide!$B$83:$D$86,MATCH(A104,Guide!$A$83:$A$86,1),MATCH(E104,Guide!$B$82:$D$82,0)))</f>
        <v/>
      </c>
      <c r="G104" s="32">
        <f>IF(F104="","",D104*F104)</f>
        <v/>
      </c>
    </row>
    <row r="105" ht="17" customHeight="1">
      <c r="A105" s="29" t="n"/>
      <c r="B105" s="30" t="n"/>
      <c r="C105" s="30" t="n"/>
      <c r="D105" s="31" t="n"/>
      <c r="E105" s="16" t="n"/>
      <c r="F105" s="23">
        <f>IF(OR(A105="",E105=""),"",INDEX(Guide!$B$83:$D$86,MATCH(A105,Guide!$A$83:$A$86,1),MATCH(E105,Guide!$B$82:$D$82,0)))</f>
        <v/>
      </c>
      <c r="G105" s="32">
        <f>IF(F105="","",D105*F105)</f>
        <v/>
      </c>
    </row>
    <row r="106" ht="17" customHeight="1">
      <c r="A106" s="29" t="n"/>
      <c r="B106" s="30" t="n"/>
      <c r="C106" s="30" t="n"/>
      <c r="D106" s="31" t="n"/>
      <c r="E106" s="16" t="n"/>
      <c r="F106" s="23">
        <f>IF(OR(A106="",E106=""),"",INDEX(Guide!$B$83:$D$86,MATCH(A106,Guide!$A$83:$A$86,1),MATCH(E106,Guide!$B$82:$D$82,0)))</f>
        <v/>
      </c>
      <c r="G106" s="32">
        <f>IF(F106="","",D106*F106)</f>
        <v/>
      </c>
    </row>
    <row r="107" ht="17" customHeight="1">
      <c r="A107" s="29" t="n"/>
      <c r="B107" s="30" t="n"/>
      <c r="C107" s="30" t="n"/>
      <c r="D107" s="31" t="n"/>
      <c r="E107" s="16" t="n"/>
      <c r="F107" s="23">
        <f>IF(OR(A107="",E107=""),"",INDEX(Guide!$B$83:$D$86,MATCH(A107,Guide!$A$83:$A$86,1),MATCH(E107,Guide!$B$82:$D$82,0)))</f>
        <v/>
      </c>
      <c r="G107" s="32">
        <f>IF(F107="","",D107*F107)</f>
        <v/>
      </c>
    </row>
    <row r="108" ht="17" customHeight="1">
      <c r="A108" s="29" t="n"/>
      <c r="B108" s="30" t="n"/>
      <c r="C108" s="30" t="n"/>
      <c r="D108" s="31" t="n"/>
      <c r="E108" s="16" t="n"/>
      <c r="F108" s="23">
        <f>IF(OR(A108="",E108=""),"",INDEX(Guide!$B$83:$D$86,MATCH(A108,Guide!$A$83:$A$86,1),MATCH(E108,Guide!$B$82:$D$82,0)))</f>
        <v/>
      </c>
      <c r="G108" s="32">
        <f>IF(F108="","",D108*F108)</f>
        <v/>
      </c>
    </row>
    <row r="109" ht="17" customHeight="1">
      <c r="A109" s="29" t="n"/>
      <c r="B109" s="30" t="n"/>
      <c r="C109" s="30" t="n"/>
      <c r="D109" s="31" t="n"/>
      <c r="E109" s="16" t="n"/>
      <c r="F109" s="23">
        <f>IF(OR(A109="",E109=""),"",INDEX(Guide!$B$83:$D$86,MATCH(A109,Guide!$A$83:$A$86,1),MATCH(E109,Guide!$B$82:$D$82,0)))</f>
        <v/>
      </c>
      <c r="G109" s="32">
        <f>IF(F109="","",D109*F109)</f>
        <v/>
      </c>
    </row>
    <row r="110" ht="17" customHeight="1">
      <c r="A110" s="29" t="n"/>
      <c r="B110" s="30" t="n"/>
      <c r="C110" s="30" t="n"/>
      <c r="D110" s="31" t="n"/>
      <c r="E110" s="16" t="n"/>
      <c r="F110" s="23">
        <f>IF(OR(A110="",E110=""),"",INDEX(Guide!$B$83:$D$86,MATCH(A110,Guide!$A$83:$A$86,1),MATCH(E110,Guide!$B$82:$D$82,0)))</f>
        <v/>
      </c>
      <c r="G110" s="32">
        <f>IF(F110="","",D110*F110)</f>
        <v/>
      </c>
    </row>
    <row r="111" ht="17" customHeight="1">
      <c r="A111" s="29" t="n"/>
      <c r="B111" s="30" t="n"/>
      <c r="C111" s="30" t="n"/>
      <c r="D111" s="31" t="n"/>
      <c r="E111" s="16" t="n"/>
      <c r="F111" s="23">
        <f>IF(OR(A111="",E111=""),"",INDEX(Guide!$B$83:$D$86,MATCH(A111,Guide!$A$83:$A$86,1),MATCH(E111,Guide!$B$82:$D$82,0)))</f>
        <v/>
      </c>
      <c r="G111" s="32">
        <f>IF(F111="","",D111*F111)</f>
        <v/>
      </c>
    </row>
    <row r="112" ht="17" customHeight="1">
      <c r="A112" s="29" t="n"/>
      <c r="B112" s="30" t="n"/>
      <c r="C112" s="30" t="n"/>
      <c r="D112" s="31" t="n"/>
      <c r="E112" s="16" t="n"/>
      <c r="F112" s="23">
        <f>IF(OR(A112="",E112=""),"",INDEX(Guide!$B$83:$D$86,MATCH(A112,Guide!$A$83:$A$86,1),MATCH(E112,Guide!$B$82:$D$82,0)))</f>
        <v/>
      </c>
      <c r="G112" s="32">
        <f>IF(F112="","",D112*F112)</f>
        <v/>
      </c>
    </row>
    <row r="113" ht="17" customHeight="1">
      <c r="A113" s="29" t="n"/>
      <c r="B113" s="30" t="n"/>
      <c r="C113" s="30" t="n"/>
      <c r="D113" s="31" t="n"/>
      <c r="E113" s="16" t="n"/>
      <c r="F113" s="23">
        <f>IF(OR(A113="",E113=""),"",INDEX(Guide!$B$83:$D$86,MATCH(A113,Guide!$A$83:$A$86,1),MATCH(E113,Guide!$B$82:$D$82,0)))</f>
        <v/>
      </c>
      <c r="G113" s="32">
        <f>IF(F113="","",D113*F113)</f>
        <v/>
      </c>
    </row>
    <row r="114" ht="17" customHeight="1">
      <c r="A114" s="29" t="n"/>
      <c r="B114" s="30" t="n"/>
      <c r="C114" s="30" t="n"/>
      <c r="D114" s="31" t="n"/>
      <c r="E114" s="16" t="n"/>
      <c r="F114" s="23">
        <f>IF(OR(A114="",E114=""),"",INDEX(Guide!$B$83:$D$86,MATCH(A114,Guide!$A$83:$A$86,1),MATCH(E114,Guide!$B$82:$D$82,0)))</f>
        <v/>
      </c>
      <c r="G114" s="32">
        <f>IF(F114="","",D114*F114)</f>
        <v/>
      </c>
    </row>
    <row r="115" ht="17" customHeight="1">
      <c r="A115" s="29" t="n"/>
      <c r="B115" s="30" t="n"/>
      <c r="C115" s="30" t="n"/>
      <c r="D115" s="31" t="n"/>
      <c r="E115" s="16" t="n"/>
      <c r="F115" s="23">
        <f>IF(OR(A115="",E115=""),"",INDEX(Guide!$B$83:$D$86,MATCH(A115,Guide!$A$83:$A$86,1),MATCH(E115,Guide!$B$82:$D$82,0)))</f>
        <v/>
      </c>
      <c r="G115" s="32">
        <f>IF(F115="","",D115*F115)</f>
        <v/>
      </c>
    </row>
    <row r="116" ht="17" customHeight="1">
      <c r="A116" s="29" t="n"/>
      <c r="B116" s="30" t="n"/>
      <c r="C116" s="30" t="n"/>
      <c r="D116" s="31" t="n"/>
      <c r="E116" s="16" t="n"/>
      <c r="F116" s="23">
        <f>IF(OR(A116="",E116=""),"",INDEX(Guide!$B$83:$D$86,MATCH(A116,Guide!$A$83:$A$86,1),MATCH(E116,Guide!$B$82:$D$82,0)))</f>
        <v/>
      </c>
      <c r="G116" s="32">
        <f>IF(F116="","",D116*F116)</f>
        <v/>
      </c>
    </row>
    <row r="117" ht="17" customHeight="1">
      <c r="A117" s="29" t="n"/>
      <c r="B117" s="30" t="n"/>
      <c r="C117" s="30" t="n"/>
      <c r="D117" s="31" t="n"/>
      <c r="E117" s="16" t="n"/>
      <c r="F117" s="23">
        <f>IF(OR(A117="",E117=""),"",INDEX(Guide!$B$83:$D$86,MATCH(A117,Guide!$A$83:$A$86,1),MATCH(E117,Guide!$B$82:$D$82,0)))</f>
        <v/>
      </c>
      <c r="G117" s="32">
        <f>IF(F117="","",D117*F117)</f>
        <v/>
      </c>
    </row>
    <row r="118" ht="17" customHeight="1">
      <c r="A118" s="29" t="n"/>
      <c r="B118" s="30" t="n"/>
      <c r="C118" s="30" t="n"/>
      <c r="D118" s="31" t="n"/>
      <c r="E118" s="16" t="n"/>
      <c r="F118" s="23">
        <f>IF(OR(A118="",E118=""),"",INDEX(Guide!$B$83:$D$86,MATCH(A118,Guide!$A$83:$A$86,1),MATCH(E118,Guide!$B$82:$D$82,0)))</f>
        <v/>
      </c>
      <c r="G118" s="32">
        <f>IF(F118="","",D118*F118)</f>
        <v/>
      </c>
    </row>
    <row r="119" ht="17" customHeight="1">
      <c r="A119" s="29" t="n"/>
      <c r="B119" s="30" t="n"/>
      <c r="C119" s="30" t="n"/>
      <c r="D119" s="31" t="n"/>
      <c r="E119" s="16" t="n"/>
      <c r="F119" s="23">
        <f>IF(OR(A119="",E119=""),"",INDEX(Guide!$B$83:$D$86,MATCH(A119,Guide!$A$83:$A$86,1),MATCH(E119,Guide!$B$82:$D$82,0)))</f>
        <v/>
      </c>
      <c r="G119" s="32">
        <f>IF(F119="","",D119*F119)</f>
        <v/>
      </c>
    </row>
    <row r="120" ht="17" customHeight="1">
      <c r="A120" s="29" t="n"/>
      <c r="B120" s="30" t="n"/>
      <c r="C120" s="30" t="n"/>
      <c r="D120" s="31" t="n"/>
      <c r="E120" s="16" t="n"/>
      <c r="F120" s="23">
        <f>IF(OR(A120="",E120=""),"",INDEX(Guide!$B$83:$D$86,MATCH(A120,Guide!$A$83:$A$86,1),MATCH(E120,Guide!$B$82:$D$82,0)))</f>
        <v/>
      </c>
      <c r="G120" s="32">
        <f>IF(F120="","",D120*F120)</f>
        <v/>
      </c>
    </row>
    <row r="121" ht="17" customHeight="1">
      <c r="A121" s="29" t="n"/>
      <c r="B121" s="30" t="n"/>
      <c r="C121" s="30" t="n"/>
      <c r="D121" s="31" t="n"/>
      <c r="E121" s="16" t="n"/>
      <c r="F121" s="23">
        <f>IF(OR(A121="",E121=""),"",INDEX(Guide!$B$83:$D$86,MATCH(A121,Guide!$A$83:$A$86,1),MATCH(E121,Guide!$B$82:$D$82,0)))</f>
        <v/>
      </c>
      <c r="G121" s="32">
        <f>IF(F121="","",D121*F121)</f>
        <v/>
      </c>
    </row>
    <row r="122" ht="17" customHeight="1">
      <c r="A122" s="29" t="n"/>
      <c r="B122" s="30" t="n"/>
      <c r="C122" s="30" t="n"/>
      <c r="D122" s="31" t="n"/>
      <c r="E122" s="16" t="n"/>
      <c r="F122" s="23">
        <f>IF(OR(A122="",E122=""),"",INDEX(Guide!$B$83:$D$86,MATCH(A122,Guide!$A$83:$A$86,1),MATCH(E122,Guide!$B$82:$D$82,0)))</f>
        <v/>
      </c>
      <c r="G122" s="32">
        <f>IF(F122="","",D122*F122)</f>
        <v/>
      </c>
    </row>
    <row r="123" ht="17" customHeight="1">
      <c r="A123" s="29" t="n"/>
      <c r="B123" s="30" t="n"/>
      <c r="C123" s="30" t="n"/>
      <c r="D123" s="31" t="n"/>
      <c r="E123" s="16" t="n"/>
      <c r="F123" s="23">
        <f>IF(OR(A123="",E123=""),"",INDEX(Guide!$B$83:$D$86,MATCH(A123,Guide!$A$83:$A$86,1),MATCH(E123,Guide!$B$82:$D$82,0)))</f>
        <v/>
      </c>
      <c r="G123" s="32">
        <f>IF(F123="","",D123*F123)</f>
        <v/>
      </c>
    </row>
    <row r="124" ht="17" customHeight="1">
      <c r="A124" s="29" t="n"/>
      <c r="B124" s="30" t="n"/>
      <c r="C124" s="30" t="n"/>
      <c r="D124" s="31" t="n"/>
      <c r="E124" s="16" t="n"/>
      <c r="F124" s="23">
        <f>IF(OR(A124="",E124=""),"",INDEX(Guide!$B$83:$D$86,MATCH(A124,Guide!$A$83:$A$86,1),MATCH(E124,Guide!$B$82:$D$82,0)))</f>
        <v/>
      </c>
      <c r="G124" s="32">
        <f>IF(F124="","",D124*F124)</f>
        <v/>
      </c>
    </row>
    <row r="125" ht="17" customHeight="1">
      <c r="A125" s="29" t="n"/>
      <c r="B125" s="30" t="n"/>
      <c r="C125" s="30" t="n"/>
      <c r="D125" s="31" t="n"/>
      <c r="E125" s="16" t="n"/>
      <c r="F125" s="23">
        <f>IF(OR(A125="",E125=""),"",INDEX(Guide!$B$83:$D$86,MATCH(A125,Guide!$A$83:$A$86,1),MATCH(E125,Guide!$B$82:$D$82,0)))</f>
        <v/>
      </c>
      <c r="G125" s="32">
        <f>IF(F125="","",D125*F125)</f>
        <v/>
      </c>
    </row>
    <row r="126" ht="17" customHeight="1">
      <c r="A126" s="29" t="n"/>
      <c r="B126" s="30" t="n"/>
      <c r="C126" s="30" t="n"/>
      <c r="D126" s="31" t="n"/>
      <c r="E126" s="16" t="n"/>
      <c r="F126" s="23">
        <f>IF(OR(A126="",E126=""),"",INDEX(Guide!$B$83:$D$86,MATCH(A126,Guide!$A$83:$A$86,1),MATCH(E126,Guide!$B$82:$D$82,0)))</f>
        <v/>
      </c>
      <c r="G126" s="32">
        <f>IF(F126="","",D126*F126)</f>
        <v/>
      </c>
    </row>
    <row r="127" ht="17" customHeight="1">
      <c r="A127" s="29" t="n"/>
      <c r="B127" s="30" t="n"/>
      <c r="C127" s="30" t="n"/>
      <c r="D127" s="31" t="n"/>
      <c r="E127" s="16" t="n"/>
      <c r="F127" s="23">
        <f>IF(OR(A127="",E127=""),"",INDEX(Guide!$B$83:$D$86,MATCH(A127,Guide!$A$83:$A$86,1),MATCH(E127,Guide!$B$82:$D$82,0)))</f>
        <v/>
      </c>
      <c r="G127" s="32">
        <f>IF(F127="","",D127*F127)</f>
        <v/>
      </c>
    </row>
    <row r="128" ht="17" customHeight="1">
      <c r="A128" s="29" t="n"/>
      <c r="B128" s="30" t="n"/>
      <c r="C128" s="30" t="n"/>
      <c r="D128" s="31" t="n"/>
      <c r="E128" s="16" t="n"/>
      <c r="F128" s="23">
        <f>IF(OR(A128="",E128=""),"",INDEX(Guide!$B$83:$D$86,MATCH(A128,Guide!$A$83:$A$86,1),MATCH(E128,Guide!$B$82:$D$82,0)))</f>
        <v/>
      </c>
      <c r="G128" s="32">
        <f>IF(F128="","",D128*F128)</f>
        <v/>
      </c>
    </row>
    <row r="129" ht="17" customHeight="1">
      <c r="A129" s="29" t="n"/>
      <c r="B129" s="30" t="n"/>
      <c r="C129" s="30" t="n"/>
      <c r="D129" s="31" t="n"/>
      <c r="E129" s="16" t="n"/>
      <c r="F129" s="23">
        <f>IF(OR(A129="",E129=""),"",INDEX(Guide!$B$83:$D$86,MATCH(A129,Guide!$A$83:$A$86,1),MATCH(E129,Guide!$B$82:$D$82,0)))</f>
        <v/>
      </c>
      <c r="G129" s="32">
        <f>IF(F129="","",D129*F129)</f>
        <v/>
      </c>
    </row>
    <row r="130" ht="17" customHeight="1">
      <c r="A130" s="29" t="n"/>
      <c r="B130" s="30" t="n"/>
      <c r="C130" s="30" t="n"/>
      <c r="D130" s="31" t="n"/>
      <c r="E130" s="16" t="n"/>
      <c r="F130" s="23">
        <f>IF(OR(A130="",E130=""),"",INDEX(Guide!$B$83:$D$86,MATCH(A130,Guide!$A$83:$A$86,1),MATCH(E130,Guide!$B$82:$D$82,0)))</f>
        <v/>
      </c>
      <c r="G130" s="32">
        <f>IF(F130="","",D130*F130)</f>
        <v/>
      </c>
    </row>
    <row r="131" ht="17" customHeight="1">
      <c r="A131" s="29" t="n"/>
      <c r="B131" s="30" t="n"/>
      <c r="C131" s="30" t="n"/>
      <c r="D131" s="31" t="n"/>
      <c r="E131" s="16" t="n"/>
      <c r="F131" s="23">
        <f>IF(OR(A131="",E131=""),"",INDEX(Guide!$B$83:$D$86,MATCH(A131,Guide!$A$83:$A$86,1),MATCH(E131,Guide!$B$82:$D$82,0)))</f>
        <v/>
      </c>
      <c r="G131" s="32">
        <f>IF(F131="","",D131*F131)</f>
        <v/>
      </c>
    </row>
    <row r="132" ht="17" customHeight="1">
      <c r="A132" s="29" t="n"/>
      <c r="B132" s="30" t="n"/>
      <c r="C132" s="30" t="n"/>
      <c r="D132" s="31" t="n"/>
      <c r="E132" s="16" t="n"/>
      <c r="F132" s="23">
        <f>IF(OR(A132="",E132=""),"",INDEX(Guide!$B$83:$D$86,MATCH(A132,Guide!$A$83:$A$86,1),MATCH(E132,Guide!$B$82:$D$82,0)))</f>
        <v/>
      </c>
      <c r="G132" s="32">
        <f>IF(F132="","",D132*F132)</f>
        <v/>
      </c>
    </row>
    <row r="133" ht="17" customHeight="1">
      <c r="A133" s="29" t="n"/>
      <c r="B133" s="30" t="n"/>
      <c r="C133" s="30" t="n"/>
      <c r="D133" s="31" t="n"/>
      <c r="E133" s="16" t="n"/>
      <c r="F133" s="23">
        <f>IF(OR(A133="",E133=""),"",INDEX(Guide!$B$83:$D$86,MATCH(A133,Guide!$A$83:$A$86,1),MATCH(E133,Guide!$B$82:$D$82,0)))</f>
        <v/>
      </c>
      <c r="G133" s="32">
        <f>IF(F133="","",D133*F133)</f>
        <v/>
      </c>
    </row>
    <row r="134" ht="17" customHeight="1">
      <c r="A134" s="29" t="n"/>
      <c r="B134" s="30" t="n"/>
      <c r="C134" s="30" t="n"/>
      <c r="D134" s="31" t="n"/>
      <c r="E134" s="16" t="n"/>
      <c r="F134" s="23">
        <f>IF(OR(A134="",E134=""),"",INDEX(Guide!$B$83:$D$86,MATCH(A134,Guide!$A$83:$A$86,1),MATCH(E134,Guide!$B$82:$D$82,0)))</f>
        <v/>
      </c>
      <c r="G134" s="32">
        <f>IF(F134="","",D134*F134)</f>
        <v/>
      </c>
    </row>
    <row r="135" ht="17" customHeight="1">
      <c r="A135" s="29" t="n"/>
      <c r="B135" s="30" t="n"/>
      <c r="C135" s="30" t="n"/>
      <c r="D135" s="31" t="n"/>
      <c r="E135" s="16" t="n"/>
      <c r="F135" s="23">
        <f>IF(OR(A135="",E135=""),"",INDEX(Guide!$B$83:$D$86,MATCH(A135,Guide!$A$83:$A$86,1),MATCH(E135,Guide!$B$82:$D$82,0)))</f>
        <v/>
      </c>
      <c r="G135" s="32">
        <f>IF(F135="","",D135*F135)</f>
        <v/>
      </c>
    </row>
    <row r="136" ht="17" customHeight="1">
      <c r="A136" s="29" t="n"/>
      <c r="B136" s="30" t="n"/>
      <c r="C136" s="30" t="n"/>
      <c r="D136" s="31" t="n"/>
      <c r="E136" s="16" t="n"/>
      <c r="F136" s="23">
        <f>IF(OR(A136="",E136=""),"",INDEX(Guide!$B$83:$D$86,MATCH(A136,Guide!$A$83:$A$86,1),MATCH(E136,Guide!$B$82:$D$82,0)))</f>
        <v/>
      </c>
      <c r="G136" s="32">
        <f>IF(F136="","",D136*F136)</f>
        <v/>
      </c>
    </row>
    <row r="137" ht="17" customHeight="1">
      <c r="A137" s="29" t="n"/>
      <c r="B137" s="30" t="n"/>
      <c r="C137" s="30" t="n"/>
      <c r="D137" s="31" t="n"/>
      <c r="E137" s="16" t="n"/>
      <c r="F137" s="23">
        <f>IF(OR(A137="",E137=""),"",INDEX(Guide!$B$83:$D$86,MATCH(A137,Guide!$A$83:$A$86,1),MATCH(E137,Guide!$B$82:$D$82,0)))</f>
        <v/>
      </c>
      <c r="G137" s="32">
        <f>IF(F137="","",D137*F137)</f>
        <v/>
      </c>
    </row>
    <row r="138" ht="17" customHeight="1">
      <c r="A138" s="29" t="n"/>
      <c r="B138" s="30" t="n"/>
      <c r="C138" s="30" t="n"/>
      <c r="D138" s="31" t="n"/>
      <c r="E138" s="16" t="n"/>
      <c r="F138" s="23">
        <f>IF(OR(A138="",E138=""),"",INDEX(Guide!$B$83:$D$86,MATCH(A138,Guide!$A$83:$A$86,1),MATCH(E138,Guide!$B$82:$D$82,0)))</f>
        <v/>
      </c>
      <c r="G138" s="32">
        <f>IF(F138="","",D138*F138)</f>
        <v/>
      </c>
    </row>
    <row r="139" ht="17" customHeight="1">
      <c r="A139" s="29" t="n"/>
      <c r="B139" s="30" t="n"/>
      <c r="C139" s="30" t="n"/>
      <c r="D139" s="31" t="n"/>
      <c r="E139" s="16" t="n"/>
      <c r="F139" s="23">
        <f>IF(OR(A139="",E139=""),"",INDEX(Guide!$B$83:$D$86,MATCH(A139,Guide!$A$83:$A$86,1),MATCH(E139,Guide!$B$82:$D$82,0)))</f>
        <v/>
      </c>
      <c r="G139" s="32">
        <f>IF(F139="","",D139*F139)</f>
        <v/>
      </c>
    </row>
    <row r="140" ht="17" customHeight="1">
      <c r="A140" s="29" t="n"/>
      <c r="B140" s="30" t="n"/>
      <c r="C140" s="30" t="n"/>
      <c r="D140" s="31" t="n"/>
      <c r="E140" s="16" t="n"/>
      <c r="F140" s="23">
        <f>IF(OR(A140="",E140=""),"",INDEX(Guide!$B$83:$D$86,MATCH(A140,Guide!$A$83:$A$86,1),MATCH(E140,Guide!$B$82:$D$82,0)))</f>
        <v/>
      </c>
      <c r="G140" s="32">
        <f>IF(F140="","",D140*F140)</f>
        <v/>
      </c>
    </row>
    <row r="141" ht="17" customHeight="1">
      <c r="A141" s="29" t="n"/>
      <c r="B141" s="30" t="n"/>
      <c r="C141" s="30" t="n"/>
      <c r="D141" s="31" t="n"/>
      <c r="E141" s="16" t="n"/>
      <c r="F141" s="23">
        <f>IF(OR(A141="",E141=""),"",INDEX(Guide!$B$83:$D$86,MATCH(A141,Guide!$A$83:$A$86,1),MATCH(E141,Guide!$B$82:$D$82,0)))</f>
        <v/>
      </c>
      <c r="G141" s="32">
        <f>IF(F141="","",D141*F141)</f>
        <v/>
      </c>
    </row>
    <row r="142" ht="17" customHeight="1">
      <c r="A142" s="29" t="n"/>
      <c r="B142" s="30" t="n"/>
      <c r="C142" s="30" t="n"/>
      <c r="D142" s="31" t="n"/>
      <c r="E142" s="16" t="n"/>
      <c r="F142" s="23">
        <f>IF(OR(A142="",E142=""),"",INDEX(Guide!$B$83:$D$86,MATCH(A142,Guide!$A$83:$A$86,1),MATCH(E142,Guide!$B$82:$D$82,0)))</f>
        <v/>
      </c>
      <c r="G142" s="32">
        <f>IF(F142="","",D142*F142)</f>
        <v/>
      </c>
    </row>
    <row r="143" ht="17" customHeight="1">
      <c r="A143" s="29" t="n"/>
      <c r="B143" s="30" t="n"/>
      <c r="C143" s="30" t="n"/>
      <c r="D143" s="31" t="n"/>
      <c r="E143" s="16" t="n"/>
      <c r="F143" s="23">
        <f>IF(OR(A143="",E143=""),"",INDEX(Guide!$B$83:$D$86,MATCH(A143,Guide!$A$83:$A$86,1),MATCH(E143,Guide!$B$82:$D$82,0)))</f>
        <v/>
      </c>
      <c r="G143" s="32">
        <f>IF(F143="","",D143*F143)</f>
        <v/>
      </c>
    </row>
    <row r="144" ht="17" customHeight="1">
      <c r="A144" s="29" t="n"/>
      <c r="B144" s="30" t="n"/>
      <c r="C144" s="30" t="n"/>
      <c r="D144" s="31" t="n"/>
      <c r="E144" s="16" t="n"/>
      <c r="F144" s="23">
        <f>IF(OR(A144="",E144=""),"",INDEX(Guide!$B$83:$D$86,MATCH(A144,Guide!$A$83:$A$86,1),MATCH(E144,Guide!$B$82:$D$82,0)))</f>
        <v/>
      </c>
      <c r="G144" s="32">
        <f>IF(F144="","",D144*F144)</f>
        <v/>
      </c>
    </row>
    <row r="145" ht="17" customHeight="1">
      <c r="A145" s="29" t="n"/>
      <c r="B145" s="30" t="n"/>
      <c r="C145" s="30" t="n"/>
      <c r="D145" s="31" t="n"/>
      <c r="E145" s="16" t="n"/>
      <c r="F145" s="23">
        <f>IF(OR(A145="",E145=""),"",INDEX(Guide!$B$83:$D$86,MATCH(A145,Guide!$A$83:$A$86,1),MATCH(E145,Guide!$B$82:$D$82,0)))</f>
        <v/>
      </c>
      <c r="G145" s="32">
        <f>IF(F145="","",D145*F145)</f>
        <v/>
      </c>
    </row>
    <row r="146" ht="17" customHeight="1">
      <c r="A146" s="29" t="n"/>
      <c r="B146" s="30" t="n"/>
      <c r="C146" s="30" t="n"/>
      <c r="D146" s="31" t="n"/>
      <c r="E146" s="16" t="n"/>
      <c r="F146" s="23">
        <f>IF(OR(A146="",E146=""),"",INDEX(Guide!$B$83:$D$86,MATCH(A146,Guide!$A$83:$A$86,1),MATCH(E146,Guide!$B$82:$D$82,0)))</f>
        <v/>
      </c>
      <c r="G146" s="32">
        <f>IF(F146="","",D146*F146)</f>
        <v/>
      </c>
    </row>
    <row r="147" ht="17" customHeight="1">
      <c r="A147" s="29" t="n"/>
      <c r="B147" s="30" t="n"/>
      <c r="C147" s="30" t="n"/>
      <c r="D147" s="31" t="n"/>
      <c r="E147" s="16" t="n"/>
      <c r="F147" s="23">
        <f>IF(OR(A147="",E147=""),"",INDEX(Guide!$B$83:$D$86,MATCH(A147,Guide!$A$83:$A$86,1),MATCH(E147,Guide!$B$82:$D$82,0)))</f>
        <v/>
      </c>
      <c r="G147" s="32">
        <f>IF(F147="","",D147*F147)</f>
        <v/>
      </c>
    </row>
    <row r="148" ht="17" customHeight="1">
      <c r="A148" s="29" t="n"/>
      <c r="B148" s="30" t="n"/>
      <c r="C148" s="30" t="n"/>
      <c r="D148" s="31" t="n"/>
      <c r="E148" s="16" t="n"/>
      <c r="F148" s="23">
        <f>IF(OR(A148="",E148=""),"",INDEX(Guide!$B$83:$D$86,MATCH(A148,Guide!$A$83:$A$86,1),MATCH(E148,Guide!$B$82:$D$82,0)))</f>
        <v/>
      </c>
      <c r="G148" s="32">
        <f>IF(F148="","",D148*F148)</f>
        <v/>
      </c>
    </row>
    <row r="149" ht="17" customHeight="1">
      <c r="A149" s="29" t="n"/>
      <c r="B149" s="30" t="n"/>
      <c r="C149" s="30" t="n"/>
      <c r="D149" s="31" t="n"/>
      <c r="E149" s="16" t="n"/>
      <c r="F149" s="23">
        <f>IF(OR(A149="",E149=""),"",INDEX(Guide!$B$83:$D$86,MATCH(A149,Guide!$A$83:$A$86,1),MATCH(E149,Guide!$B$82:$D$82,0)))</f>
        <v/>
      </c>
      <c r="G149" s="32">
        <f>IF(F149="","",D149*F149)</f>
        <v/>
      </c>
    </row>
    <row r="150" ht="17" customHeight="1">
      <c r="A150" s="29" t="n"/>
      <c r="B150" s="30" t="n"/>
      <c r="C150" s="30" t="n"/>
      <c r="D150" s="31" t="n"/>
      <c r="E150" s="16" t="n"/>
      <c r="F150" s="23">
        <f>IF(OR(A150="",E150=""),"",INDEX(Guide!$B$83:$D$86,MATCH(A150,Guide!$A$83:$A$86,1),MATCH(E150,Guide!$B$82:$D$82,0)))</f>
        <v/>
      </c>
      <c r="G150" s="32">
        <f>IF(F150="","",D150*F150)</f>
        <v/>
      </c>
    </row>
    <row r="151" ht="17" customHeight="1">
      <c r="A151" s="29" t="n"/>
      <c r="B151" s="30" t="n"/>
      <c r="C151" s="30" t="n"/>
      <c r="D151" s="31" t="n"/>
      <c r="E151" s="16" t="n"/>
      <c r="F151" s="23">
        <f>IF(OR(A151="",E151=""),"",INDEX(Guide!$B$83:$D$86,MATCH(A151,Guide!$A$83:$A$86,1),MATCH(E151,Guide!$B$82:$D$82,0)))</f>
        <v/>
      </c>
      <c r="G151" s="32">
        <f>IF(F151="","",D151*F151)</f>
        <v/>
      </c>
    </row>
    <row r="152" ht="17" customHeight="1">
      <c r="A152" s="29" t="n"/>
      <c r="B152" s="30" t="n"/>
      <c r="C152" s="30" t="n"/>
      <c r="D152" s="31" t="n"/>
      <c r="E152" s="16" t="n"/>
      <c r="F152" s="23">
        <f>IF(OR(A152="",E152=""),"",INDEX(Guide!$B$83:$D$86,MATCH(A152,Guide!$A$83:$A$86,1),MATCH(E152,Guide!$B$82:$D$82,0)))</f>
        <v/>
      </c>
      <c r="G152" s="32">
        <f>IF(F152="","",D152*F152)</f>
        <v/>
      </c>
    </row>
    <row r="153" ht="17" customHeight="1">
      <c r="A153" s="29" t="n"/>
      <c r="B153" s="30" t="n"/>
      <c r="C153" s="30" t="n"/>
      <c r="D153" s="31" t="n"/>
      <c r="E153" s="16" t="n"/>
      <c r="F153" s="23">
        <f>IF(OR(A153="",E153=""),"",INDEX(Guide!$B$83:$D$86,MATCH(A153,Guide!$A$83:$A$86,1),MATCH(E153,Guide!$B$82:$D$82,0)))</f>
        <v/>
      </c>
      <c r="G153" s="32">
        <f>IF(F153="","",D153*F153)</f>
        <v/>
      </c>
    </row>
    <row r="154" ht="17" customHeight="1">
      <c r="A154" s="29" t="n"/>
      <c r="B154" s="30" t="n"/>
      <c r="C154" s="30" t="n"/>
      <c r="D154" s="31" t="n"/>
      <c r="E154" s="16" t="n"/>
      <c r="F154" s="23">
        <f>IF(OR(A154="",E154=""),"",INDEX(Guide!$B$83:$D$86,MATCH(A154,Guide!$A$83:$A$86,1),MATCH(E154,Guide!$B$82:$D$82,0)))</f>
        <v/>
      </c>
      <c r="G154" s="32">
        <f>IF(F154="","",D154*F154)</f>
        <v/>
      </c>
    </row>
    <row r="155" ht="17" customHeight="1">
      <c r="A155" s="29" t="n"/>
      <c r="B155" s="30" t="n"/>
      <c r="C155" s="30" t="n"/>
      <c r="D155" s="31" t="n"/>
      <c r="E155" s="16" t="n"/>
      <c r="F155" s="23">
        <f>IF(OR(A155="",E155=""),"",INDEX(Guide!$B$83:$D$86,MATCH(A155,Guide!$A$83:$A$86,1),MATCH(E155,Guide!$B$82:$D$82,0)))</f>
        <v/>
      </c>
      <c r="G155" s="32">
        <f>IF(F155="","",D155*F155)</f>
        <v/>
      </c>
    </row>
    <row r="156" ht="17" customHeight="1">
      <c r="A156" s="29" t="n"/>
      <c r="B156" s="30" t="n"/>
      <c r="C156" s="30" t="n"/>
      <c r="D156" s="31" t="n"/>
      <c r="E156" s="16" t="n"/>
      <c r="F156" s="23">
        <f>IF(OR(A156="",E156=""),"",INDEX(Guide!$B$83:$D$86,MATCH(A156,Guide!$A$83:$A$86,1),MATCH(E156,Guide!$B$82:$D$82,0)))</f>
        <v/>
      </c>
      <c r="G156" s="32">
        <f>IF(F156="","",D156*F156)</f>
        <v/>
      </c>
    </row>
    <row r="157" ht="22" customHeight="1">
      <c r="A157" s="33" t="n"/>
      <c r="B157" s="33" t="n"/>
      <c r="C157" s="34" t="inlineStr">
        <is>
          <t>Totals</t>
        </is>
      </c>
      <c r="D157" s="35">
        <f>SUM(D7:D156)</f>
        <v/>
      </c>
      <c r="E157" s="33" t="n"/>
      <c r="F157" s="33" t="n"/>
      <c r="G157" s="36">
        <f>SUM(G7:G156)</f>
        <v/>
      </c>
    </row>
    <row r="159" ht="30" customHeight="1">
      <c r="A159" s="7" t="inlineStr">
        <is>
          <t>Prepared for planning with Grott Luker &amp; Co. This workbook organizes your records; it does not determine what is deductible. Entries are your own; review with your Grott Luker CPA before anything is used in a return or a decision.</t>
        </is>
      </c>
    </row>
  </sheetData>
  <mergeCells count="1">
    <mergeCell ref="A159:G159"/>
  </mergeCells>
  <dataValidations count="1">
    <dataValidation sqref="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showDropDown="0" showInputMessage="0" showErrorMessage="0" allowBlank="1" errorTitle="Purpose" error="Choose Business, Charity, or Medical." type="list">
      <formula1>"Business,Charity,Medical"</formula1>
    </dataValidation>
  </dataValidations>
  <pageMargins left="0.5" right="0.5" top="0.6" bottom="0.6" header="0.5" footer="0.5"/>
  <pageSetup orientation="landscape" fitToHeight="0" fitToWidth="1"/>
  <headerFooter>
    <oddHeader/>
    <oddFooter>&amp;L&amp;8 Grott Luker &amp; Co. · Mileage &amp; Expense Log 2026&amp;R&amp;8 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tabColor rgb="000F2440"/>
    <outlinePr summaryBelow="1" summaryRight="1"/>
    <pageSetUpPr fitToPage="1"/>
  </sheetPr>
  <dimension ref="A1:I159"/>
  <sheetViews>
    <sheetView showGridLines="0" showRowColHeaders="0" zoomScale="110" workbookViewId="0">
      <pane ySplit="6" topLeftCell="A7" activePane="bottomLeft" state="frozen"/>
      <selection pane="bottomLeft" activeCell="A1" sqref="A1"/>
    </sheetView>
  </sheetViews>
  <sheetFormatPr baseColWidth="8" defaultRowHeight="15"/>
  <cols>
    <col width="13" customWidth="1" min="1" max="1"/>
    <col width="22" customWidth="1" min="2" max="2"/>
    <col width="36" customWidth="1" min="3" max="3"/>
    <col width="13" customWidth="1" min="4" max="4"/>
    <col width="34" customWidth="1" min="5" max="5"/>
    <col width="18" customWidth="1" min="6" max="6"/>
    <col width="13" customWidth="1" min="7" max="7"/>
    <col width="9" customWidth="1" min="8" max="8"/>
    <col width="46" customWidth="1" min="9" max="9"/>
  </cols>
  <sheetData>
    <row r="1" ht="10" customHeight="1">
      <c r="A1" s="1" t="n"/>
      <c r="B1" s="1" t="n"/>
      <c r="C1" s="1" t="n"/>
      <c r="D1" s="1" t="n"/>
      <c r="E1" s="1" t="n"/>
      <c r="F1" s="1" t="n"/>
      <c r="G1" s="1" t="n"/>
      <c r="H1" s="1" t="n"/>
      <c r="I1" s="1" t="n"/>
    </row>
    <row r="2" ht="40" customHeight="1">
      <c r="A2" s="1" t="n"/>
      <c r="B2" s="1" t="n"/>
      <c r="C2" s="1" t="n"/>
      <c r="D2" s="1" t="n"/>
      <c r="E2" s="1" t="n"/>
      <c r="F2" s="1" t="n"/>
      <c r="G2" s="1" t="n"/>
      <c r="H2" s="1" t="n"/>
      <c r="I2" s="2" t="inlineStr">
        <is>
          <t>Expenses</t>
        </is>
      </c>
    </row>
    <row r="3" ht="14" customHeight="1">
      <c r="A3" s="1" t="n"/>
      <c r="B3" s="1" t="n"/>
      <c r="C3" s="1" t="n"/>
      <c r="D3" s="1" t="n"/>
      <c r="E3" s="1" t="n"/>
      <c r="F3" s="1" t="n"/>
      <c r="G3" s="1" t="n"/>
      <c r="H3" s="1" t="n"/>
      <c r="I3" s="3">
        <f>"Tax year "&amp;Log!$B$6&amp;"   ·   Powered by BlueLine Advisors"   ·   Powered by BlueLine Advisors</f>
        <v/>
      </c>
    </row>
    <row r="4" ht="10" customHeight="1"/>
    <row r="5" ht="24" customHeight="1">
      <c r="A5" s="11" t="inlineStr">
        <is>
          <t>Business expenses</t>
        </is>
      </c>
      <c r="B5" s="12" t="n"/>
      <c r="C5" s="12" t="n"/>
      <c r="D5" s="12" t="n"/>
      <c r="E5" s="12" t="n"/>
      <c r="F5" s="12" t="n"/>
      <c r="G5" s="12" t="n"/>
      <c r="H5" s="12" t="n"/>
      <c r="I5" s="18" t="inlineStr">
        <is>
          <t>treatment, counted amount, and watch-outs fill in from the category and your line of work</t>
        </is>
      </c>
    </row>
    <row r="6" ht="18" customHeight="1">
      <c r="A6" s="19" t="inlineStr">
        <is>
          <t>DATE</t>
        </is>
      </c>
      <c r="B6" s="20" t="inlineStr">
        <is>
          <t>CLIENT / VENDOR</t>
        </is>
      </c>
      <c r="C6" s="20" t="inlineStr">
        <is>
          <t>WHAT AND WHY</t>
        </is>
      </c>
      <c r="D6" s="21" t="inlineStr">
        <is>
          <t>AMOUNT</t>
        </is>
      </c>
      <c r="E6" s="20" t="inlineStr">
        <is>
          <t>CATEGORY  ▾</t>
        </is>
      </c>
      <c r="F6" s="20" t="inlineStr">
        <is>
          <t>TREATMENT</t>
        </is>
      </c>
      <c r="G6" s="21" t="inlineStr">
        <is>
          <t>COUNTED</t>
        </is>
      </c>
      <c r="H6" s="37" t="inlineStr">
        <is>
          <t>TYPICAL</t>
        </is>
      </c>
      <c r="I6" s="20" t="inlineStr">
        <is>
          <t>WATCH OUT FOR YOUR LINE OF WORK</t>
        </is>
      </c>
    </row>
    <row r="7" ht="17" customHeight="1">
      <c r="A7" s="29" t="n"/>
      <c r="B7" s="30" t="n"/>
      <c r="C7" s="30" t="n"/>
      <c r="D7" s="38" t="n"/>
      <c r="E7" s="16" t="n"/>
      <c r="F7" s="39">
        <f>IF(E7="","",INDEX(Guide!$B$51:$B$78,MATCH(E7,Guide!$A$51:$A$78,0)))</f>
        <v/>
      </c>
      <c r="G7" s="32">
        <f>IF(OR(E7="",D7=""),"",D7*INDEX(Guide!$C$51:$C$78,MATCH(E7,Guide!$A$51:$A$78,0)))</f>
        <v/>
      </c>
      <c r="H7" s="40">
        <f>IF(E7="","",IF(COUNTIF(INDEX(Guide!$E$25:$R$36,0,Guide!$B$6),E7)&gt;0,"✓",""))</f>
        <v/>
      </c>
      <c r="I7" s="41">
        <f>IF(E7="","",IFERROR(INDEX(INDEX(Guide!$E$44:$R$46,0,Guide!$B$6),MATCH(E7,INDEX(Guide!$E$39:$R$41,0,Guide!$B$6),0)),""))</f>
        <v/>
      </c>
    </row>
    <row r="8" ht="17" customHeight="1">
      <c r="A8" s="29" t="n"/>
      <c r="B8" s="30" t="n"/>
      <c r="C8" s="30" t="n"/>
      <c r="D8" s="38" t="n"/>
      <c r="E8" s="16" t="n"/>
      <c r="F8" s="39">
        <f>IF(E8="","",INDEX(Guide!$B$51:$B$78,MATCH(E8,Guide!$A$51:$A$78,0)))</f>
        <v/>
      </c>
      <c r="G8" s="32">
        <f>IF(OR(E8="",D8=""),"",D8*INDEX(Guide!$C$51:$C$78,MATCH(E8,Guide!$A$51:$A$78,0)))</f>
        <v/>
      </c>
      <c r="H8" s="40">
        <f>IF(E8="","",IF(COUNTIF(INDEX(Guide!$E$25:$R$36,0,Guide!$B$6),E8)&gt;0,"✓",""))</f>
        <v/>
      </c>
      <c r="I8" s="41">
        <f>IF(E8="","",IFERROR(INDEX(INDEX(Guide!$E$44:$R$46,0,Guide!$B$6),MATCH(E8,INDEX(Guide!$E$39:$R$41,0,Guide!$B$6),0)),""))</f>
        <v/>
      </c>
    </row>
    <row r="9" ht="17" customHeight="1">
      <c r="A9" s="29" t="n"/>
      <c r="B9" s="30" t="n"/>
      <c r="C9" s="30" t="n"/>
      <c r="D9" s="38" t="n"/>
      <c r="E9" s="16" t="n"/>
      <c r="F9" s="39">
        <f>IF(E9="","",INDEX(Guide!$B$51:$B$78,MATCH(E9,Guide!$A$51:$A$78,0)))</f>
        <v/>
      </c>
      <c r="G9" s="32">
        <f>IF(OR(E9="",D9=""),"",D9*INDEX(Guide!$C$51:$C$78,MATCH(E9,Guide!$A$51:$A$78,0)))</f>
        <v/>
      </c>
      <c r="H9" s="40">
        <f>IF(E9="","",IF(COUNTIF(INDEX(Guide!$E$25:$R$36,0,Guide!$B$6),E9)&gt;0,"✓",""))</f>
        <v/>
      </c>
      <c r="I9" s="41">
        <f>IF(E9="","",IFERROR(INDEX(INDEX(Guide!$E$44:$R$46,0,Guide!$B$6),MATCH(E9,INDEX(Guide!$E$39:$R$41,0,Guide!$B$6),0)),""))</f>
        <v/>
      </c>
    </row>
    <row r="10" ht="17" customHeight="1">
      <c r="A10" s="29" t="n"/>
      <c r="B10" s="30" t="n"/>
      <c r="C10" s="30" t="n"/>
      <c r="D10" s="38" t="n"/>
      <c r="E10" s="16" t="n"/>
      <c r="F10" s="39">
        <f>IF(E10="","",INDEX(Guide!$B$51:$B$78,MATCH(E10,Guide!$A$51:$A$78,0)))</f>
        <v/>
      </c>
      <c r="G10" s="32">
        <f>IF(OR(E10="",D10=""),"",D10*INDEX(Guide!$C$51:$C$78,MATCH(E10,Guide!$A$51:$A$78,0)))</f>
        <v/>
      </c>
      <c r="H10" s="40">
        <f>IF(E10="","",IF(COUNTIF(INDEX(Guide!$E$25:$R$36,0,Guide!$B$6),E10)&gt;0,"✓",""))</f>
        <v/>
      </c>
      <c r="I10" s="41">
        <f>IF(E10="","",IFERROR(INDEX(INDEX(Guide!$E$44:$R$46,0,Guide!$B$6),MATCH(E10,INDEX(Guide!$E$39:$R$41,0,Guide!$B$6),0)),""))</f>
        <v/>
      </c>
    </row>
    <row r="11" ht="17" customHeight="1">
      <c r="A11" s="29" t="n"/>
      <c r="B11" s="30" t="n"/>
      <c r="C11" s="30" t="n"/>
      <c r="D11" s="38" t="n"/>
      <c r="E11" s="16" t="n"/>
      <c r="F11" s="39">
        <f>IF(E11="","",INDEX(Guide!$B$51:$B$78,MATCH(E11,Guide!$A$51:$A$78,0)))</f>
        <v/>
      </c>
      <c r="G11" s="32">
        <f>IF(OR(E11="",D11=""),"",D11*INDEX(Guide!$C$51:$C$78,MATCH(E11,Guide!$A$51:$A$78,0)))</f>
        <v/>
      </c>
      <c r="H11" s="40">
        <f>IF(E11="","",IF(COUNTIF(INDEX(Guide!$E$25:$R$36,0,Guide!$B$6),E11)&gt;0,"✓",""))</f>
        <v/>
      </c>
      <c r="I11" s="41">
        <f>IF(E11="","",IFERROR(INDEX(INDEX(Guide!$E$44:$R$46,0,Guide!$B$6),MATCH(E11,INDEX(Guide!$E$39:$R$41,0,Guide!$B$6),0)),""))</f>
        <v/>
      </c>
    </row>
    <row r="12" ht="17" customHeight="1">
      <c r="A12" s="29" t="n"/>
      <c r="B12" s="30" t="n"/>
      <c r="C12" s="30" t="n"/>
      <c r="D12" s="38" t="n"/>
      <c r="E12" s="16" t="n"/>
      <c r="F12" s="39">
        <f>IF(E12="","",INDEX(Guide!$B$51:$B$78,MATCH(E12,Guide!$A$51:$A$78,0)))</f>
        <v/>
      </c>
      <c r="G12" s="32">
        <f>IF(OR(E12="",D12=""),"",D12*INDEX(Guide!$C$51:$C$78,MATCH(E12,Guide!$A$51:$A$78,0)))</f>
        <v/>
      </c>
      <c r="H12" s="40">
        <f>IF(E12="","",IF(COUNTIF(INDEX(Guide!$E$25:$R$36,0,Guide!$B$6),E12)&gt;0,"✓",""))</f>
        <v/>
      </c>
      <c r="I12" s="41">
        <f>IF(E12="","",IFERROR(INDEX(INDEX(Guide!$E$44:$R$46,0,Guide!$B$6),MATCH(E12,INDEX(Guide!$E$39:$R$41,0,Guide!$B$6),0)),""))</f>
        <v/>
      </c>
    </row>
    <row r="13" ht="17" customHeight="1">
      <c r="A13" s="29" t="n"/>
      <c r="B13" s="30" t="n"/>
      <c r="C13" s="30" t="n"/>
      <c r="D13" s="38" t="n"/>
      <c r="E13" s="16" t="n"/>
      <c r="F13" s="39">
        <f>IF(E13="","",INDEX(Guide!$B$51:$B$78,MATCH(E13,Guide!$A$51:$A$78,0)))</f>
        <v/>
      </c>
      <c r="G13" s="32">
        <f>IF(OR(E13="",D13=""),"",D13*INDEX(Guide!$C$51:$C$78,MATCH(E13,Guide!$A$51:$A$78,0)))</f>
        <v/>
      </c>
      <c r="H13" s="40">
        <f>IF(E13="","",IF(COUNTIF(INDEX(Guide!$E$25:$R$36,0,Guide!$B$6),E13)&gt;0,"✓",""))</f>
        <v/>
      </c>
      <c r="I13" s="41">
        <f>IF(E13="","",IFERROR(INDEX(INDEX(Guide!$E$44:$R$46,0,Guide!$B$6),MATCH(E13,INDEX(Guide!$E$39:$R$41,0,Guide!$B$6),0)),""))</f>
        <v/>
      </c>
    </row>
    <row r="14" ht="17" customHeight="1">
      <c r="A14" s="29" t="n"/>
      <c r="B14" s="30" t="n"/>
      <c r="C14" s="30" t="n"/>
      <c r="D14" s="38" t="n"/>
      <c r="E14" s="16" t="n"/>
      <c r="F14" s="39">
        <f>IF(E14="","",INDEX(Guide!$B$51:$B$78,MATCH(E14,Guide!$A$51:$A$78,0)))</f>
        <v/>
      </c>
      <c r="G14" s="32">
        <f>IF(OR(E14="",D14=""),"",D14*INDEX(Guide!$C$51:$C$78,MATCH(E14,Guide!$A$51:$A$78,0)))</f>
        <v/>
      </c>
      <c r="H14" s="40">
        <f>IF(E14="","",IF(COUNTIF(INDEX(Guide!$E$25:$R$36,0,Guide!$B$6),E14)&gt;0,"✓",""))</f>
        <v/>
      </c>
      <c r="I14" s="41">
        <f>IF(E14="","",IFERROR(INDEX(INDEX(Guide!$E$44:$R$46,0,Guide!$B$6),MATCH(E14,INDEX(Guide!$E$39:$R$41,0,Guide!$B$6),0)),""))</f>
        <v/>
      </c>
    </row>
    <row r="15" ht="17" customHeight="1">
      <c r="A15" s="29" t="n"/>
      <c r="B15" s="30" t="n"/>
      <c r="C15" s="30" t="n"/>
      <c r="D15" s="38" t="n"/>
      <c r="E15" s="16" t="n"/>
      <c r="F15" s="39">
        <f>IF(E15="","",INDEX(Guide!$B$51:$B$78,MATCH(E15,Guide!$A$51:$A$78,0)))</f>
        <v/>
      </c>
      <c r="G15" s="32">
        <f>IF(OR(E15="",D15=""),"",D15*INDEX(Guide!$C$51:$C$78,MATCH(E15,Guide!$A$51:$A$78,0)))</f>
        <v/>
      </c>
      <c r="H15" s="40">
        <f>IF(E15="","",IF(COUNTIF(INDEX(Guide!$E$25:$R$36,0,Guide!$B$6),E15)&gt;0,"✓",""))</f>
        <v/>
      </c>
      <c r="I15" s="41">
        <f>IF(E15="","",IFERROR(INDEX(INDEX(Guide!$E$44:$R$46,0,Guide!$B$6),MATCH(E15,INDEX(Guide!$E$39:$R$41,0,Guide!$B$6),0)),""))</f>
        <v/>
      </c>
    </row>
    <row r="16" ht="17" customHeight="1">
      <c r="A16" s="29" t="n"/>
      <c r="B16" s="30" t="n"/>
      <c r="C16" s="30" t="n"/>
      <c r="D16" s="38" t="n"/>
      <c r="E16" s="16" t="n"/>
      <c r="F16" s="39">
        <f>IF(E16="","",INDEX(Guide!$B$51:$B$78,MATCH(E16,Guide!$A$51:$A$78,0)))</f>
        <v/>
      </c>
      <c r="G16" s="32">
        <f>IF(OR(E16="",D16=""),"",D16*INDEX(Guide!$C$51:$C$78,MATCH(E16,Guide!$A$51:$A$78,0)))</f>
        <v/>
      </c>
      <c r="H16" s="40">
        <f>IF(E16="","",IF(COUNTIF(INDEX(Guide!$E$25:$R$36,0,Guide!$B$6),E16)&gt;0,"✓",""))</f>
        <v/>
      </c>
      <c r="I16" s="41">
        <f>IF(E16="","",IFERROR(INDEX(INDEX(Guide!$E$44:$R$46,0,Guide!$B$6),MATCH(E16,INDEX(Guide!$E$39:$R$41,0,Guide!$B$6),0)),""))</f>
        <v/>
      </c>
    </row>
    <row r="17" ht="17" customHeight="1">
      <c r="A17" s="29" t="n"/>
      <c r="B17" s="30" t="n"/>
      <c r="C17" s="30" t="n"/>
      <c r="D17" s="38" t="n"/>
      <c r="E17" s="16" t="n"/>
      <c r="F17" s="39">
        <f>IF(E17="","",INDEX(Guide!$B$51:$B$78,MATCH(E17,Guide!$A$51:$A$78,0)))</f>
        <v/>
      </c>
      <c r="G17" s="32">
        <f>IF(OR(E17="",D17=""),"",D17*INDEX(Guide!$C$51:$C$78,MATCH(E17,Guide!$A$51:$A$78,0)))</f>
        <v/>
      </c>
      <c r="H17" s="40">
        <f>IF(E17="","",IF(COUNTIF(INDEX(Guide!$E$25:$R$36,0,Guide!$B$6),E17)&gt;0,"✓",""))</f>
        <v/>
      </c>
      <c r="I17" s="41">
        <f>IF(E17="","",IFERROR(INDEX(INDEX(Guide!$E$44:$R$46,0,Guide!$B$6),MATCH(E17,INDEX(Guide!$E$39:$R$41,0,Guide!$B$6),0)),""))</f>
        <v/>
      </c>
    </row>
    <row r="18" ht="17" customHeight="1">
      <c r="A18" s="29" t="n"/>
      <c r="B18" s="30" t="n"/>
      <c r="C18" s="30" t="n"/>
      <c r="D18" s="38" t="n"/>
      <c r="E18" s="16" t="n"/>
      <c r="F18" s="39">
        <f>IF(E18="","",INDEX(Guide!$B$51:$B$78,MATCH(E18,Guide!$A$51:$A$78,0)))</f>
        <v/>
      </c>
      <c r="G18" s="32">
        <f>IF(OR(E18="",D18=""),"",D18*INDEX(Guide!$C$51:$C$78,MATCH(E18,Guide!$A$51:$A$78,0)))</f>
        <v/>
      </c>
      <c r="H18" s="40">
        <f>IF(E18="","",IF(COUNTIF(INDEX(Guide!$E$25:$R$36,0,Guide!$B$6),E18)&gt;0,"✓",""))</f>
        <v/>
      </c>
      <c r="I18" s="41">
        <f>IF(E18="","",IFERROR(INDEX(INDEX(Guide!$E$44:$R$46,0,Guide!$B$6),MATCH(E18,INDEX(Guide!$E$39:$R$41,0,Guide!$B$6),0)),""))</f>
        <v/>
      </c>
    </row>
    <row r="19" ht="17" customHeight="1">
      <c r="A19" s="29" t="n"/>
      <c r="B19" s="30" t="n"/>
      <c r="C19" s="30" t="n"/>
      <c r="D19" s="38" t="n"/>
      <c r="E19" s="16" t="n"/>
      <c r="F19" s="39">
        <f>IF(E19="","",INDEX(Guide!$B$51:$B$78,MATCH(E19,Guide!$A$51:$A$78,0)))</f>
        <v/>
      </c>
      <c r="G19" s="32">
        <f>IF(OR(E19="",D19=""),"",D19*INDEX(Guide!$C$51:$C$78,MATCH(E19,Guide!$A$51:$A$78,0)))</f>
        <v/>
      </c>
      <c r="H19" s="40">
        <f>IF(E19="","",IF(COUNTIF(INDEX(Guide!$E$25:$R$36,0,Guide!$B$6),E19)&gt;0,"✓",""))</f>
        <v/>
      </c>
      <c r="I19" s="41">
        <f>IF(E19="","",IFERROR(INDEX(INDEX(Guide!$E$44:$R$46,0,Guide!$B$6),MATCH(E19,INDEX(Guide!$E$39:$R$41,0,Guide!$B$6),0)),""))</f>
        <v/>
      </c>
    </row>
    <row r="20" ht="17" customHeight="1">
      <c r="A20" s="29" t="n"/>
      <c r="B20" s="30" t="n"/>
      <c r="C20" s="30" t="n"/>
      <c r="D20" s="38" t="n"/>
      <c r="E20" s="16" t="n"/>
      <c r="F20" s="39">
        <f>IF(E20="","",INDEX(Guide!$B$51:$B$78,MATCH(E20,Guide!$A$51:$A$78,0)))</f>
        <v/>
      </c>
      <c r="G20" s="32">
        <f>IF(OR(E20="",D20=""),"",D20*INDEX(Guide!$C$51:$C$78,MATCH(E20,Guide!$A$51:$A$78,0)))</f>
        <v/>
      </c>
      <c r="H20" s="40">
        <f>IF(E20="","",IF(COUNTIF(INDEX(Guide!$E$25:$R$36,0,Guide!$B$6),E20)&gt;0,"✓",""))</f>
        <v/>
      </c>
      <c r="I20" s="41">
        <f>IF(E20="","",IFERROR(INDEX(INDEX(Guide!$E$44:$R$46,0,Guide!$B$6),MATCH(E20,INDEX(Guide!$E$39:$R$41,0,Guide!$B$6),0)),""))</f>
        <v/>
      </c>
    </row>
    <row r="21" ht="17" customHeight="1">
      <c r="A21" s="29" t="n"/>
      <c r="B21" s="30" t="n"/>
      <c r="C21" s="30" t="n"/>
      <c r="D21" s="38" t="n"/>
      <c r="E21" s="16" t="n"/>
      <c r="F21" s="39">
        <f>IF(E21="","",INDEX(Guide!$B$51:$B$78,MATCH(E21,Guide!$A$51:$A$78,0)))</f>
        <v/>
      </c>
      <c r="G21" s="32">
        <f>IF(OR(E21="",D21=""),"",D21*INDEX(Guide!$C$51:$C$78,MATCH(E21,Guide!$A$51:$A$78,0)))</f>
        <v/>
      </c>
      <c r="H21" s="40">
        <f>IF(E21="","",IF(COUNTIF(INDEX(Guide!$E$25:$R$36,0,Guide!$B$6),E21)&gt;0,"✓",""))</f>
        <v/>
      </c>
      <c r="I21" s="41">
        <f>IF(E21="","",IFERROR(INDEX(INDEX(Guide!$E$44:$R$46,0,Guide!$B$6),MATCH(E21,INDEX(Guide!$E$39:$R$41,0,Guide!$B$6),0)),""))</f>
        <v/>
      </c>
    </row>
    <row r="22" ht="17" customHeight="1">
      <c r="A22" s="29" t="n"/>
      <c r="B22" s="30" t="n"/>
      <c r="C22" s="30" t="n"/>
      <c r="D22" s="38" t="n"/>
      <c r="E22" s="16" t="n"/>
      <c r="F22" s="39">
        <f>IF(E22="","",INDEX(Guide!$B$51:$B$78,MATCH(E22,Guide!$A$51:$A$78,0)))</f>
        <v/>
      </c>
      <c r="G22" s="32">
        <f>IF(OR(E22="",D22=""),"",D22*INDEX(Guide!$C$51:$C$78,MATCH(E22,Guide!$A$51:$A$78,0)))</f>
        <v/>
      </c>
      <c r="H22" s="40">
        <f>IF(E22="","",IF(COUNTIF(INDEX(Guide!$E$25:$R$36,0,Guide!$B$6),E22)&gt;0,"✓",""))</f>
        <v/>
      </c>
      <c r="I22" s="41">
        <f>IF(E22="","",IFERROR(INDEX(INDEX(Guide!$E$44:$R$46,0,Guide!$B$6),MATCH(E22,INDEX(Guide!$E$39:$R$41,0,Guide!$B$6),0)),""))</f>
        <v/>
      </c>
    </row>
    <row r="23" ht="17" customHeight="1">
      <c r="A23" s="29" t="n"/>
      <c r="B23" s="30" t="n"/>
      <c r="C23" s="30" t="n"/>
      <c r="D23" s="38" t="n"/>
      <c r="E23" s="16" t="n"/>
      <c r="F23" s="39">
        <f>IF(E23="","",INDEX(Guide!$B$51:$B$78,MATCH(E23,Guide!$A$51:$A$78,0)))</f>
        <v/>
      </c>
      <c r="G23" s="32">
        <f>IF(OR(E23="",D23=""),"",D23*INDEX(Guide!$C$51:$C$78,MATCH(E23,Guide!$A$51:$A$78,0)))</f>
        <v/>
      </c>
      <c r="H23" s="40">
        <f>IF(E23="","",IF(COUNTIF(INDEX(Guide!$E$25:$R$36,0,Guide!$B$6),E23)&gt;0,"✓",""))</f>
        <v/>
      </c>
      <c r="I23" s="41">
        <f>IF(E23="","",IFERROR(INDEX(INDEX(Guide!$E$44:$R$46,0,Guide!$B$6),MATCH(E23,INDEX(Guide!$E$39:$R$41,0,Guide!$B$6),0)),""))</f>
        <v/>
      </c>
    </row>
    <row r="24" ht="17" customHeight="1">
      <c r="A24" s="29" t="n"/>
      <c r="B24" s="30" t="n"/>
      <c r="C24" s="30" t="n"/>
      <c r="D24" s="38" t="n"/>
      <c r="E24" s="16" t="n"/>
      <c r="F24" s="39">
        <f>IF(E24="","",INDEX(Guide!$B$51:$B$78,MATCH(E24,Guide!$A$51:$A$78,0)))</f>
        <v/>
      </c>
      <c r="G24" s="32">
        <f>IF(OR(E24="",D24=""),"",D24*INDEX(Guide!$C$51:$C$78,MATCH(E24,Guide!$A$51:$A$78,0)))</f>
        <v/>
      </c>
      <c r="H24" s="40">
        <f>IF(E24="","",IF(COUNTIF(INDEX(Guide!$E$25:$R$36,0,Guide!$B$6),E24)&gt;0,"✓",""))</f>
        <v/>
      </c>
      <c r="I24" s="41">
        <f>IF(E24="","",IFERROR(INDEX(INDEX(Guide!$E$44:$R$46,0,Guide!$B$6),MATCH(E24,INDEX(Guide!$E$39:$R$41,0,Guide!$B$6),0)),""))</f>
        <v/>
      </c>
    </row>
    <row r="25" ht="17" customHeight="1">
      <c r="A25" s="29" t="n"/>
      <c r="B25" s="30" t="n"/>
      <c r="C25" s="30" t="n"/>
      <c r="D25" s="38" t="n"/>
      <c r="E25" s="16" t="n"/>
      <c r="F25" s="39">
        <f>IF(E25="","",INDEX(Guide!$B$51:$B$78,MATCH(E25,Guide!$A$51:$A$78,0)))</f>
        <v/>
      </c>
      <c r="G25" s="32">
        <f>IF(OR(E25="",D25=""),"",D25*INDEX(Guide!$C$51:$C$78,MATCH(E25,Guide!$A$51:$A$78,0)))</f>
        <v/>
      </c>
      <c r="H25" s="40">
        <f>IF(E25="","",IF(COUNTIF(INDEX(Guide!$E$25:$R$36,0,Guide!$B$6),E25)&gt;0,"✓",""))</f>
        <v/>
      </c>
      <c r="I25" s="41">
        <f>IF(E25="","",IFERROR(INDEX(INDEX(Guide!$E$44:$R$46,0,Guide!$B$6),MATCH(E25,INDEX(Guide!$E$39:$R$41,0,Guide!$B$6),0)),""))</f>
        <v/>
      </c>
    </row>
    <row r="26" ht="17" customHeight="1">
      <c r="A26" s="29" t="n"/>
      <c r="B26" s="30" t="n"/>
      <c r="C26" s="30" t="n"/>
      <c r="D26" s="38" t="n"/>
      <c r="E26" s="16" t="n"/>
      <c r="F26" s="39">
        <f>IF(E26="","",INDEX(Guide!$B$51:$B$78,MATCH(E26,Guide!$A$51:$A$78,0)))</f>
        <v/>
      </c>
      <c r="G26" s="32">
        <f>IF(OR(E26="",D26=""),"",D26*INDEX(Guide!$C$51:$C$78,MATCH(E26,Guide!$A$51:$A$78,0)))</f>
        <v/>
      </c>
      <c r="H26" s="40">
        <f>IF(E26="","",IF(COUNTIF(INDEX(Guide!$E$25:$R$36,0,Guide!$B$6),E26)&gt;0,"✓",""))</f>
        <v/>
      </c>
      <c r="I26" s="41">
        <f>IF(E26="","",IFERROR(INDEX(INDEX(Guide!$E$44:$R$46,0,Guide!$B$6),MATCH(E26,INDEX(Guide!$E$39:$R$41,0,Guide!$B$6),0)),""))</f>
        <v/>
      </c>
    </row>
    <row r="27" ht="17" customHeight="1">
      <c r="A27" s="29" t="n"/>
      <c r="B27" s="30" t="n"/>
      <c r="C27" s="30" t="n"/>
      <c r="D27" s="38" t="n"/>
      <c r="E27" s="16" t="n"/>
      <c r="F27" s="39">
        <f>IF(E27="","",INDEX(Guide!$B$51:$B$78,MATCH(E27,Guide!$A$51:$A$78,0)))</f>
        <v/>
      </c>
      <c r="G27" s="32">
        <f>IF(OR(E27="",D27=""),"",D27*INDEX(Guide!$C$51:$C$78,MATCH(E27,Guide!$A$51:$A$78,0)))</f>
        <v/>
      </c>
      <c r="H27" s="40">
        <f>IF(E27="","",IF(COUNTIF(INDEX(Guide!$E$25:$R$36,0,Guide!$B$6),E27)&gt;0,"✓",""))</f>
        <v/>
      </c>
      <c r="I27" s="41">
        <f>IF(E27="","",IFERROR(INDEX(INDEX(Guide!$E$44:$R$46,0,Guide!$B$6),MATCH(E27,INDEX(Guide!$E$39:$R$41,0,Guide!$B$6),0)),""))</f>
        <v/>
      </c>
    </row>
    <row r="28" ht="17" customHeight="1">
      <c r="A28" s="29" t="n"/>
      <c r="B28" s="30" t="n"/>
      <c r="C28" s="30" t="n"/>
      <c r="D28" s="38" t="n"/>
      <c r="E28" s="16" t="n"/>
      <c r="F28" s="39">
        <f>IF(E28="","",INDEX(Guide!$B$51:$B$78,MATCH(E28,Guide!$A$51:$A$78,0)))</f>
        <v/>
      </c>
      <c r="G28" s="32">
        <f>IF(OR(E28="",D28=""),"",D28*INDEX(Guide!$C$51:$C$78,MATCH(E28,Guide!$A$51:$A$78,0)))</f>
        <v/>
      </c>
      <c r="H28" s="40">
        <f>IF(E28="","",IF(COUNTIF(INDEX(Guide!$E$25:$R$36,0,Guide!$B$6),E28)&gt;0,"✓",""))</f>
        <v/>
      </c>
      <c r="I28" s="41">
        <f>IF(E28="","",IFERROR(INDEX(INDEX(Guide!$E$44:$R$46,0,Guide!$B$6),MATCH(E28,INDEX(Guide!$E$39:$R$41,0,Guide!$B$6),0)),""))</f>
        <v/>
      </c>
    </row>
    <row r="29" ht="17" customHeight="1">
      <c r="A29" s="29" t="n"/>
      <c r="B29" s="30" t="n"/>
      <c r="C29" s="30" t="n"/>
      <c r="D29" s="38" t="n"/>
      <c r="E29" s="16" t="n"/>
      <c r="F29" s="39">
        <f>IF(E29="","",INDEX(Guide!$B$51:$B$78,MATCH(E29,Guide!$A$51:$A$78,0)))</f>
        <v/>
      </c>
      <c r="G29" s="32">
        <f>IF(OR(E29="",D29=""),"",D29*INDEX(Guide!$C$51:$C$78,MATCH(E29,Guide!$A$51:$A$78,0)))</f>
        <v/>
      </c>
      <c r="H29" s="40">
        <f>IF(E29="","",IF(COUNTIF(INDEX(Guide!$E$25:$R$36,0,Guide!$B$6),E29)&gt;0,"✓",""))</f>
        <v/>
      </c>
      <c r="I29" s="41">
        <f>IF(E29="","",IFERROR(INDEX(INDEX(Guide!$E$44:$R$46,0,Guide!$B$6),MATCH(E29,INDEX(Guide!$E$39:$R$41,0,Guide!$B$6),0)),""))</f>
        <v/>
      </c>
    </row>
    <row r="30" ht="17" customHeight="1">
      <c r="A30" s="29" t="n"/>
      <c r="B30" s="30" t="n"/>
      <c r="C30" s="30" t="n"/>
      <c r="D30" s="38" t="n"/>
      <c r="E30" s="16" t="n"/>
      <c r="F30" s="39">
        <f>IF(E30="","",INDEX(Guide!$B$51:$B$78,MATCH(E30,Guide!$A$51:$A$78,0)))</f>
        <v/>
      </c>
      <c r="G30" s="32">
        <f>IF(OR(E30="",D30=""),"",D30*INDEX(Guide!$C$51:$C$78,MATCH(E30,Guide!$A$51:$A$78,0)))</f>
        <v/>
      </c>
      <c r="H30" s="40">
        <f>IF(E30="","",IF(COUNTIF(INDEX(Guide!$E$25:$R$36,0,Guide!$B$6),E30)&gt;0,"✓",""))</f>
        <v/>
      </c>
      <c r="I30" s="41">
        <f>IF(E30="","",IFERROR(INDEX(INDEX(Guide!$E$44:$R$46,0,Guide!$B$6),MATCH(E30,INDEX(Guide!$E$39:$R$41,0,Guide!$B$6),0)),""))</f>
        <v/>
      </c>
    </row>
    <row r="31" ht="17" customHeight="1">
      <c r="A31" s="29" t="n"/>
      <c r="B31" s="30" t="n"/>
      <c r="C31" s="30" t="n"/>
      <c r="D31" s="38" t="n"/>
      <c r="E31" s="16" t="n"/>
      <c r="F31" s="39">
        <f>IF(E31="","",INDEX(Guide!$B$51:$B$78,MATCH(E31,Guide!$A$51:$A$78,0)))</f>
        <v/>
      </c>
      <c r="G31" s="32">
        <f>IF(OR(E31="",D31=""),"",D31*INDEX(Guide!$C$51:$C$78,MATCH(E31,Guide!$A$51:$A$78,0)))</f>
        <v/>
      </c>
      <c r="H31" s="40">
        <f>IF(E31="","",IF(COUNTIF(INDEX(Guide!$E$25:$R$36,0,Guide!$B$6),E31)&gt;0,"✓",""))</f>
        <v/>
      </c>
      <c r="I31" s="41">
        <f>IF(E31="","",IFERROR(INDEX(INDEX(Guide!$E$44:$R$46,0,Guide!$B$6),MATCH(E31,INDEX(Guide!$E$39:$R$41,0,Guide!$B$6),0)),""))</f>
        <v/>
      </c>
    </row>
    <row r="32" ht="17" customHeight="1">
      <c r="A32" s="29" t="n"/>
      <c r="B32" s="30" t="n"/>
      <c r="C32" s="30" t="n"/>
      <c r="D32" s="38" t="n"/>
      <c r="E32" s="16" t="n"/>
      <c r="F32" s="39">
        <f>IF(E32="","",INDEX(Guide!$B$51:$B$78,MATCH(E32,Guide!$A$51:$A$78,0)))</f>
        <v/>
      </c>
      <c r="G32" s="32">
        <f>IF(OR(E32="",D32=""),"",D32*INDEX(Guide!$C$51:$C$78,MATCH(E32,Guide!$A$51:$A$78,0)))</f>
        <v/>
      </c>
      <c r="H32" s="40">
        <f>IF(E32="","",IF(COUNTIF(INDEX(Guide!$E$25:$R$36,0,Guide!$B$6),E32)&gt;0,"✓",""))</f>
        <v/>
      </c>
      <c r="I32" s="41">
        <f>IF(E32="","",IFERROR(INDEX(INDEX(Guide!$E$44:$R$46,0,Guide!$B$6),MATCH(E32,INDEX(Guide!$E$39:$R$41,0,Guide!$B$6),0)),""))</f>
        <v/>
      </c>
    </row>
    <row r="33" ht="17" customHeight="1">
      <c r="A33" s="29" t="n"/>
      <c r="B33" s="30" t="n"/>
      <c r="C33" s="30" t="n"/>
      <c r="D33" s="38" t="n"/>
      <c r="E33" s="16" t="n"/>
      <c r="F33" s="39">
        <f>IF(E33="","",INDEX(Guide!$B$51:$B$78,MATCH(E33,Guide!$A$51:$A$78,0)))</f>
        <v/>
      </c>
      <c r="G33" s="32">
        <f>IF(OR(E33="",D33=""),"",D33*INDEX(Guide!$C$51:$C$78,MATCH(E33,Guide!$A$51:$A$78,0)))</f>
        <v/>
      </c>
      <c r="H33" s="40">
        <f>IF(E33="","",IF(COUNTIF(INDEX(Guide!$E$25:$R$36,0,Guide!$B$6),E33)&gt;0,"✓",""))</f>
        <v/>
      </c>
      <c r="I33" s="41">
        <f>IF(E33="","",IFERROR(INDEX(INDEX(Guide!$E$44:$R$46,0,Guide!$B$6),MATCH(E33,INDEX(Guide!$E$39:$R$41,0,Guide!$B$6),0)),""))</f>
        <v/>
      </c>
    </row>
    <row r="34" ht="17" customHeight="1">
      <c r="A34" s="29" t="n"/>
      <c r="B34" s="30" t="n"/>
      <c r="C34" s="30" t="n"/>
      <c r="D34" s="38" t="n"/>
      <c r="E34" s="16" t="n"/>
      <c r="F34" s="39">
        <f>IF(E34="","",INDEX(Guide!$B$51:$B$78,MATCH(E34,Guide!$A$51:$A$78,0)))</f>
        <v/>
      </c>
      <c r="G34" s="32">
        <f>IF(OR(E34="",D34=""),"",D34*INDEX(Guide!$C$51:$C$78,MATCH(E34,Guide!$A$51:$A$78,0)))</f>
        <v/>
      </c>
      <c r="H34" s="40">
        <f>IF(E34="","",IF(COUNTIF(INDEX(Guide!$E$25:$R$36,0,Guide!$B$6),E34)&gt;0,"✓",""))</f>
        <v/>
      </c>
      <c r="I34" s="41">
        <f>IF(E34="","",IFERROR(INDEX(INDEX(Guide!$E$44:$R$46,0,Guide!$B$6),MATCH(E34,INDEX(Guide!$E$39:$R$41,0,Guide!$B$6),0)),""))</f>
        <v/>
      </c>
    </row>
    <row r="35" ht="17" customHeight="1">
      <c r="A35" s="29" t="n"/>
      <c r="B35" s="30" t="n"/>
      <c r="C35" s="30" t="n"/>
      <c r="D35" s="38" t="n"/>
      <c r="E35" s="16" t="n"/>
      <c r="F35" s="39">
        <f>IF(E35="","",INDEX(Guide!$B$51:$B$78,MATCH(E35,Guide!$A$51:$A$78,0)))</f>
        <v/>
      </c>
      <c r="G35" s="32">
        <f>IF(OR(E35="",D35=""),"",D35*INDEX(Guide!$C$51:$C$78,MATCH(E35,Guide!$A$51:$A$78,0)))</f>
        <v/>
      </c>
      <c r="H35" s="40">
        <f>IF(E35="","",IF(COUNTIF(INDEX(Guide!$E$25:$R$36,0,Guide!$B$6),E35)&gt;0,"✓",""))</f>
        <v/>
      </c>
      <c r="I35" s="41">
        <f>IF(E35="","",IFERROR(INDEX(INDEX(Guide!$E$44:$R$46,0,Guide!$B$6),MATCH(E35,INDEX(Guide!$E$39:$R$41,0,Guide!$B$6),0)),""))</f>
        <v/>
      </c>
    </row>
    <row r="36" ht="17" customHeight="1">
      <c r="A36" s="29" t="n"/>
      <c r="B36" s="30" t="n"/>
      <c r="C36" s="30" t="n"/>
      <c r="D36" s="38" t="n"/>
      <c r="E36" s="16" t="n"/>
      <c r="F36" s="39">
        <f>IF(E36="","",INDEX(Guide!$B$51:$B$78,MATCH(E36,Guide!$A$51:$A$78,0)))</f>
        <v/>
      </c>
      <c r="G36" s="32">
        <f>IF(OR(E36="",D36=""),"",D36*INDEX(Guide!$C$51:$C$78,MATCH(E36,Guide!$A$51:$A$78,0)))</f>
        <v/>
      </c>
      <c r="H36" s="40">
        <f>IF(E36="","",IF(COUNTIF(INDEX(Guide!$E$25:$R$36,0,Guide!$B$6),E36)&gt;0,"✓",""))</f>
        <v/>
      </c>
      <c r="I36" s="41">
        <f>IF(E36="","",IFERROR(INDEX(INDEX(Guide!$E$44:$R$46,0,Guide!$B$6),MATCH(E36,INDEX(Guide!$E$39:$R$41,0,Guide!$B$6),0)),""))</f>
        <v/>
      </c>
    </row>
    <row r="37" ht="17" customHeight="1">
      <c r="A37" s="29" t="n"/>
      <c r="B37" s="30" t="n"/>
      <c r="C37" s="30" t="n"/>
      <c r="D37" s="38" t="n"/>
      <c r="E37" s="16" t="n"/>
      <c r="F37" s="39">
        <f>IF(E37="","",INDEX(Guide!$B$51:$B$78,MATCH(E37,Guide!$A$51:$A$78,0)))</f>
        <v/>
      </c>
      <c r="G37" s="32">
        <f>IF(OR(E37="",D37=""),"",D37*INDEX(Guide!$C$51:$C$78,MATCH(E37,Guide!$A$51:$A$78,0)))</f>
        <v/>
      </c>
      <c r="H37" s="40">
        <f>IF(E37="","",IF(COUNTIF(INDEX(Guide!$E$25:$R$36,0,Guide!$B$6),E37)&gt;0,"✓",""))</f>
        <v/>
      </c>
      <c r="I37" s="41">
        <f>IF(E37="","",IFERROR(INDEX(INDEX(Guide!$E$44:$R$46,0,Guide!$B$6),MATCH(E37,INDEX(Guide!$E$39:$R$41,0,Guide!$B$6),0)),""))</f>
        <v/>
      </c>
    </row>
    <row r="38" ht="17" customHeight="1">
      <c r="A38" s="29" t="n"/>
      <c r="B38" s="30" t="n"/>
      <c r="C38" s="30" t="n"/>
      <c r="D38" s="38" t="n"/>
      <c r="E38" s="16" t="n"/>
      <c r="F38" s="39">
        <f>IF(E38="","",INDEX(Guide!$B$51:$B$78,MATCH(E38,Guide!$A$51:$A$78,0)))</f>
        <v/>
      </c>
      <c r="G38" s="32">
        <f>IF(OR(E38="",D38=""),"",D38*INDEX(Guide!$C$51:$C$78,MATCH(E38,Guide!$A$51:$A$78,0)))</f>
        <v/>
      </c>
      <c r="H38" s="40">
        <f>IF(E38="","",IF(COUNTIF(INDEX(Guide!$E$25:$R$36,0,Guide!$B$6),E38)&gt;0,"✓",""))</f>
        <v/>
      </c>
      <c r="I38" s="41">
        <f>IF(E38="","",IFERROR(INDEX(INDEX(Guide!$E$44:$R$46,0,Guide!$B$6),MATCH(E38,INDEX(Guide!$E$39:$R$41,0,Guide!$B$6),0)),""))</f>
        <v/>
      </c>
    </row>
    <row r="39" ht="17" customHeight="1">
      <c r="A39" s="29" t="n"/>
      <c r="B39" s="30" t="n"/>
      <c r="C39" s="30" t="n"/>
      <c r="D39" s="38" t="n"/>
      <c r="E39" s="16" t="n"/>
      <c r="F39" s="39">
        <f>IF(E39="","",INDEX(Guide!$B$51:$B$78,MATCH(E39,Guide!$A$51:$A$78,0)))</f>
        <v/>
      </c>
      <c r="G39" s="32">
        <f>IF(OR(E39="",D39=""),"",D39*INDEX(Guide!$C$51:$C$78,MATCH(E39,Guide!$A$51:$A$78,0)))</f>
        <v/>
      </c>
      <c r="H39" s="40">
        <f>IF(E39="","",IF(COUNTIF(INDEX(Guide!$E$25:$R$36,0,Guide!$B$6),E39)&gt;0,"✓",""))</f>
        <v/>
      </c>
      <c r="I39" s="41">
        <f>IF(E39="","",IFERROR(INDEX(INDEX(Guide!$E$44:$R$46,0,Guide!$B$6),MATCH(E39,INDEX(Guide!$E$39:$R$41,0,Guide!$B$6),0)),""))</f>
        <v/>
      </c>
    </row>
    <row r="40" ht="17" customHeight="1">
      <c r="A40" s="29" t="n"/>
      <c r="B40" s="30" t="n"/>
      <c r="C40" s="30" t="n"/>
      <c r="D40" s="38" t="n"/>
      <c r="E40" s="16" t="n"/>
      <c r="F40" s="39">
        <f>IF(E40="","",INDEX(Guide!$B$51:$B$78,MATCH(E40,Guide!$A$51:$A$78,0)))</f>
        <v/>
      </c>
      <c r="G40" s="32">
        <f>IF(OR(E40="",D40=""),"",D40*INDEX(Guide!$C$51:$C$78,MATCH(E40,Guide!$A$51:$A$78,0)))</f>
        <v/>
      </c>
      <c r="H40" s="40">
        <f>IF(E40="","",IF(COUNTIF(INDEX(Guide!$E$25:$R$36,0,Guide!$B$6),E40)&gt;0,"✓",""))</f>
        <v/>
      </c>
      <c r="I40" s="41">
        <f>IF(E40="","",IFERROR(INDEX(INDEX(Guide!$E$44:$R$46,0,Guide!$B$6),MATCH(E40,INDEX(Guide!$E$39:$R$41,0,Guide!$B$6),0)),""))</f>
        <v/>
      </c>
    </row>
    <row r="41" ht="17" customHeight="1">
      <c r="A41" s="29" t="n"/>
      <c r="B41" s="30" t="n"/>
      <c r="C41" s="30" t="n"/>
      <c r="D41" s="38" t="n"/>
      <c r="E41" s="16" t="n"/>
      <c r="F41" s="39">
        <f>IF(E41="","",INDEX(Guide!$B$51:$B$78,MATCH(E41,Guide!$A$51:$A$78,0)))</f>
        <v/>
      </c>
      <c r="G41" s="32">
        <f>IF(OR(E41="",D41=""),"",D41*INDEX(Guide!$C$51:$C$78,MATCH(E41,Guide!$A$51:$A$78,0)))</f>
        <v/>
      </c>
      <c r="H41" s="40">
        <f>IF(E41="","",IF(COUNTIF(INDEX(Guide!$E$25:$R$36,0,Guide!$B$6),E41)&gt;0,"✓",""))</f>
        <v/>
      </c>
      <c r="I41" s="41">
        <f>IF(E41="","",IFERROR(INDEX(INDEX(Guide!$E$44:$R$46,0,Guide!$B$6),MATCH(E41,INDEX(Guide!$E$39:$R$41,0,Guide!$B$6),0)),""))</f>
        <v/>
      </c>
    </row>
    <row r="42" ht="17" customHeight="1">
      <c r="A42" s="29" t="n"/>
      <c r="B42" s="30" t="n"/>
      <c r="C42" s="30" t="n"/>
      <c r="D42" s="38" t="n"/>
      <c r="E42" s="16" t="n"/>
      <c r="F42" s="39">
        <f>IF(E42="","",INDEX(Guide!$B$51:$B$78,MATCH(E42,Guide!$A$51:$A$78,0)))</f>
        <v/>
      </c>
      <c r="G42" s="32">
        <f>IF(OR(E42="",D42=""),"",D42*INDEX(Guide!$C$51:$C$78,MATCH(E42,Guide!$A$51:$A$78,0)))</f>
        <v/>
      </c>
      <c r="H42" s="40">
        <f>IF(E42="","",IF(COUNTIF(INDEX(Guide!$E$25:$R$36,0,Guide!$B$6),E42)&gt;0,"✓",""))</f>
        <v/>
      </c>
      <c r="I42" s="41">
        <f>IF(E42="","",IFERROR(INDEX(INDEX(Guide!$E$44:$R$46,0,Guide!$B$6),MATCH(E42,INDEX(Guide!$E$39:$R$41,0,Guide!$B$6),0)),""))</f>
        <v/>
      </c>
    </row>
    <row r="43" ht="17" customHeight="1">
      <c r="A43" s="29" t="n"/>
      <c r="B43" s="30" t="n"/>
      <c r="C43" s="30" t="n"/>
      <c r="D43" s="38" t="n"/>
      <c r="E43" s="16" t="n"/>
      <c r="F43" s="39">
        <f>IF(E43="","",INDEX(Guide!$B$51:$B$78,MATCH(E43,Guide!$A$51:$A$78,0)))</f>
        <v/>
      </c>
      <c r="G43" s="32">
        <f>IF(OR(E43="",D43=""),"",D43*INDEX(Guide!$C$51:$C$78,MATCH(E43,Guide!$A$51:$A$78,0)))</f>
        <v/>
      </c>
      <c r="H43" s="40">
        <f>IF(E43="","",IF(COUNTIF(INDEX(Guide!$E$25:$R$36,0,Guide!$B$6),E43)&gt;0,"✓",""))</f>
        <v/>
      </c>
      <c r="I43" s="41">
        <f>IF(E43="","",IFERROR(INDEX(INDEX(Guide!$E$44:$R$46,0,Guide!$B$6),MATCH(E43,INDEX(Guide!$E$39:$R$41,0,Guide!$B$6),0)),""))</f>
        <v/>
      </c>
    </row>
    <row r="44" ht="17" customHeight="1">
      <c r="A44" s="29" t="n"/>
      <c r="B44" s="30" t="n"/>
      <c r="C44" s="30" t="n"/>
      <c r="D44" s="38" t="n"/>
      <c r="E44" s="16" t="n"/>
      <c r="F44" s="39">
        <f>IF(E44="","",INDEX(Guide!$B$51:$B$78,MATCH(E44,Guide!$A$51:$A$78,0)))</f>
        <v/>
      </c>
      <c r="G44" s="32">
        <f>IF(OR(E44="",D44=""),"",D44*INDEX(Guide!$C$51:$C$78,MATCH(E44,Guide!$A$51:$A$78,0)))</f>
        <v/>
      </c>
      <c r="H44" s="40">
        <f>IF(E44="","",IF(COUNTIF(INDEX(Guide!$E$25:$R$36,0,Guide!$B$6),E44)&gt;0,"✓",""))</f>
        <v/>
      </c>
      <c r="I44" s="41">
        <f>IF(E44="","",IFERROR(INDEX(INDEX(Guide!$E$44:$R$46,0,Guide!$B$6),MATCH(E44,INDEX(Guide!$E$39:$R$41,0,Guide!$B$6),0)),""))</f>
        <v/>
      </c>
    </row>
    <row r="45" ht="17" customHeight="1">
      <c r="A45" s="29" t="n"/>
      <c r="B45" s="30" t="n"/>
      <c r="C45" s="30" t="n"/>
      <c r="D45" s="38" t="n"/>
      <c r="E45" s="16" t="n"/>
      <c r="F45" s="39">
        <f>IF(E45="","",INDEX(Guide!$B$51:$B$78,MATCH(E45,Guide!$A$51:$A$78,0)))</f>
        <v/>
      </c>
      <c r="G45" s="32">
        <f>IF(OR(E45="",D45=""),"",D45*INDEX(Guide!$C$51:$C$78,MATCH(E45,Guide!$A$51:$A$78,0)))</f>
        <v/>
      </c>
      <c r="H45" s="40">
        <f>IF(E45="","",IF(COUNTIF(INDEX(Guide!$E$25:$R$36,0,Guide!$B$6),E45)&gt;0,"✓",""))</f>
        <v/>
      </c>
      <c r="I45" s="41">
        <f>IF(E45="","",IFERROR(INDEX(INDEX(Guide!$E$44:$R$46,0,Guide!$B$6),MATCH(E45,INDEX(Guide!$E$39:$R$41,0,Guide!$B$6),0)),""))</f>
        <v/>
      </c>
    </row>
    <row r="46" ht="17" customHeight="1">
      <c r="A46" s="29" t="n"/>
      <c r="B46" s="30" t="n"/>
      <c r="C46" s="30" t="n"/>
      <c r="D46" s="38" t="n"/>
      <c r="E46" s="16" t="n"/>
      <c r="F46" s="39">
        <f>IF(E46="","",INDEX(Guide!$B$51:$B$78,MATCH(E46,Guide!$A$51:$A$78,0)))</f>
        <v/>
      </c>
      <c r="G46" s="32">
        <f>IF(OR(E46="",D46=""),"",D46*INDEX(Guide!$C$51:$C$78,MATCH(E46,Guide!$A$51:$A$78,0)))</f>
        <v/>
      </c>
      <c r="H46" s="40">
        <f>IF(E46="","",IF(COUNTIF(INDEX(Guide!$E$25:$R$36,0,Guide!$B$6),E46)&gt;0,"✓",""))</f>
        <v/>
      </c>
      <c r="I46" s="41">
        <f>IF(E46="","",IFERROR(INDEX(INDEX(Guide!$E$44:$R$46,0,Guide!$B$6),MATCH(E46,INDEX(Guide!$E$39:$R$41,0,Guide!$B$6),0)),""))</f>
        <v/>
      </c>
    </row>
    <row r="47" ht="17" customHeight="1">
      <c r="A47" s="29" t="n"/>
      <c r="B47" s="30" t="n"/>
      <c r="C47" s="30" t="n"/>
      <c r="D47" s="38" t="n"/>
      <c r="E47" s="16" t="n"/>
      <c r="F47" s="39">
        <f>IF(E47="","",INDEX(Guide!$B$51:$B$78,MATCH(E47,Guide!$A$51:$A$78,0)))</f>
        <v/>
      </c>
      <c r="G47" s="32">
        <f>IF(OR(E47="",D47=""),"",D47*INDEX(Guide!$C$51:$C$78,MATCH(E47,Guide!$A$51:$A$78,0)))</f>
        <v/>
      </c>
      <c r="H47" s="40">
        <f>IF(E47="","",IF(COUNTIF(INDEX(Guide!$E$25:$R$36,0,Guide!$B$6),E47)&gt;0,"✓",""))</f>
        <v/>
      </c>
      <c r="I47" s="41">
        <f>IF(E47="","",IFERROR(INDEX(INDEX(Guide!$E$44:$R$46,0,Guide!$B$6),MATCH(E47,INDEX(Guide!$E$39:$R$41,0,Guide!$B$6),0)),""))</f>
        <v/>
      </c>
    </row>
    <row r="48" ht="17" customHeight="1">
      <c r="A48" s="29" t="n"/>
      <c r="B48" s="30" t="n"/>
      <c r="C48" s="30" t="n"/>
      <c r="D48" s="38" t="n"/>
      <c r="E48" s="16" t="n"/>
      <c r="F48" s="39">
        <f>IF(E48="","",INDEX(Guide!$B$51:$B$78,MATCH(E48,Guide!$A$51:$A$78,0)))</f>
        <v/>
      </c>
      <c r="G48" s="32">
        <f>IF(OR(E48="",D48=""),"",D48*INDEX(Guide!$C$51:$C$78,MATCH(E48,Guide!$A$51:$A$78,0)))</f>
        <v/>
      </c>
      <c r="H48" s="40">
        <f>IF(E48="","",IF(COUNTIF(INDEX(Guide!$E$25:$R$36,0,Guide!$B$6),E48)&gt;0,"✓",""))</f>
        <v/>
      </c>
      <c r="I48" s="41">
        <f>IF(E48="","",IFERROR(INDEX(INDEX(Guide!$E$44:$R$46,0,Guide!$B$6),MATCH(E48,INDEX(Guide!$E$39:$R$41,0,Guide!$B$6),0)),""))</f>
        <v/>
      </c>
    </row>
    <row r="49" ht="17" customHeight="1">
      <c r="A49" s="29" t="n"/>
      <c r="B49" s="30" t="n"/>
      <c r="C49" s="30" t="n"/>
      <c r="D49" s="38" t="n"/>
      <c r="E49" s="16" t="n"/>
      <c r="F49" s="39">
        <f>IF(E49="","",INDEX(Guide!$B$51:$B$78,MATCH(E49,Guide!$A$51:$A$78,0)))</f>
        <v/>
      </c>
      <c r="G49" s="32">
        <f>IF(OR(E49="",D49=""),"",D49*INDEX(Guide!$C$51:$C$78,MATCH(E49,Guide!$A$51:$A$78,0)))</f>
        <v/>
      </c>
      <c r="H49" s="40">
        <f>IF(E49="","",IF(COUNTIF(INDEX(Guide!$E$25:$R$36,0,Guide!$B$6),E49)&gt;0,"✓",""))</f>
        <v/>
      </c>
      <c r="I49" s="41">
        <f>IF(E49="","",IFERROR(INDEX(INDEX(Guide!$E$44:$R$46,0,Guide!$B$6),MATCH(E49,INDEX(Guide!$E$39:$R$41,0,Guide!$B$6),0)),""))</f>
        <v/>
      </c>
    </row>
    <row r="50" ht="17" customHeight="1">
      <c r="A50" s="29" t="n"/>
      <c r="B50" s="30" t="n"/>
      <c r="C50" s="30" t="n"/>
      <c r="D50" s="38" t="n"/>
      <c r="E50" s="16" t="n"/>
      <c r="F50" s="39">
        <f>IF(E50="","",INDEX(Guide!$B$51:$B$78,MATCH(E50,Guide!$A$51:$A$78,0)))</f>
        <v/>
      </c>
      <c r="G50" s="32">
        <f>IF(OR(E50="",D50=""),"",D50*INDEX(Guide!$C$51:$C$78,MATCH(E50,Guide!$A$51:$A$78,0)))</f>
        <v/>
      </c>
      <c r="H50" s="40">
        <f>IF(E50="","",IF(COUNTIF(INDEX(Guide!$E$25:$R$36,0,Guide!$B$6),E50)&gt;0,"✓",""))</f>
        <v/>
      </c>
      <c r="I50" s="41">
        <f>IF(E50="","",IFERROR(INDEX(INDEX(Guide!$E$44:$R$46,0,Guide!$B$6),MATCH(E50,INDEX(Guide!$E$39:$R$41,0,Guide!$B$6),0)),""))</f>
        <v/>
      </c>
    </row>
    <row r="51" ht="17" customHeight="1">
      <c r="A51" s="29" t="n"/>
      <c r="B51" s="30" t="n"/>
      <c r="C51" s="30" t="n"/>
      <c r="D51" s="38" t="n"/>
      <c r="E51" s="16" t="n"/>
      <c r="F51" s="39">
        <f>IF(E51="","",INDEX(Guide!$B$51:$B$78,MATCH(E51,Guide!$A$51:$A$78,0)))</f>
        <v/>
      </c>
      <c r="G51" s="32">
        <f>IF(OR(E51="",D51=""),"",D51*INDEX(Guide!$C$51:$C$78,MATCH(E51,Guide!$A$51:$A$78,0)))</f>
        <v/>
      </c>
      <c r="H51" s="40">
        <f>IF(E51="","",IF(COUNTIF(INDEX(Guide!$E$25:$R$36,0,Guide!$B$6),E51)&gt;0,"✓",""))</f>
        <v/>
      </c>
      <c r="I51" s="41">
        <f>IF(E51="","",IFERROR(INDEX(INDEX(Guide!$E$44:$R$46,0,Guide!$B$6),MATCH(E51,INDEX(Guide!$E$39:$R$41,0,Guide!$B$6),0)),""))</f>
        <v/>
      </c>
    </row>
    <row r="52" ht="17" customHeight="1">
      <c r="A52" s="29" t="n"/>
      <c r="B52" s="30" t="n"/>
      <c r="C52" s="30" t="n"/>
      <c r="D52" s="38" t="n"/>
      <c r="E52" s="16" t="n"/>
      <c r="F52" s="39">
        <f>IF(E52="","",INDEX(Guide!$B$51:$B$78,MATCH(E52,Guide!$A$51:$A$78,0)))</f>
        <v/>
      </c>
      <c r="G52" s="32">
        <f>IF(OR(E52="",D52=""),"",D52*INDEX(Guide!$C$51:$C$78,MATCH(E52,Guide!$A$51:$A$78,0)))</f>
        <v/>
      </c>
      <c r="H52" s="40">
        <f>IF(E52="","",IF(COUNTIF(INDEX(Guide!$E$25:$R$36,0,Guide!$B$6),E52)&gt;0,"✓",""))</f>
        <v/>
      </c>
      <c r="I52" s="41">
        <f>IF(E52="","",IFERROR(INDEX(INDEX(Guide!$E$44:$R$46,0,Guide!$B$6),MATCH(E52,INDEX(Guide!$E$39:$R$41,0,Guide!$B$6),0)),""))</f>
        <v/>
      </c>
    </row>
    <row r="53" ht="17" customHeight="1">
      <c r="A53" s="29" t="n"/>
      <c r="B53" s="30" t="n"/>
      <c r="C53" s="30" t="n"/>
      <c r="D53" s="38" t="n"/>
      <c r="E53" s="16" t="n"/>
      <c r="F53" s="39">
        <f>IF(E53="","",INDEX(Guide!$B$51:$B$78,MATCH(E53,Guide!$A$51:$A$78,0)))</f>
        <v/>
      </c>
      <c r="G53" s="32">
        <f>IF(OR(E53="",D53=""),"",D53*INDEX(Guide!$C$51:$C$78,MATCH(E53,Guide!$A$51:$A$78,0)))</f>
        <v/>
      </c>
      <c r="H53" s="40">
        <f>IF(E53="","",IF(COUNTIF(INDEX(Guide!$E$25:$R$36,0,Guide!$B$6),E53)&gt;0,"✓",""))</f>
        <v/>
      </c>
      <c r="I53" s="41">
        <f>IF(E53="","",IFERROR(INDEX(INDEX(Guide!$E$44:$R$46,0,Guide!$B$6),MATCH(E53,INDEX(Guide!$E$39:$R$41,0,Guide!$B$6),0)),""))</f>
        <v/>
      </c>
    </row>
    <row r="54" ht="17" customHeight="1">
      <c r="A54" s="29" t="n"/>
      <c r="B54" s="30" t="n"/>
      <c r="C54" s="30" t="n"/>
      <c r="D54" s="38" t="n"/>
      <c r="E54" s="16" t="n"/>
      <c r="F54" s="39">
        <f>IF(E54="","",INDEX(Guide!$B$51:$B$78,MATCH(E54,Guide!$A$51:$A$78,0)))</f>
        <v/>
      </c>
      <c r="G54" s="32">
        <f>IF(OR(E54="",D54=""),"",D54*INDEX(Guide!$C$51:$C$78,MATCH(E54,Guide!$A$51:$A$78,0)))</f>
        <v/>
      </c>
      <c r="H54" s="40">
        <f>IF(E54="","",IF(COUNTIF(INDEX(Guide!$E$25:$R$36,0,Guide!$B$6),E54)&gt;0,"✓",""))</f>
        <v/>
      </c>
      <c r="I54" s="41">
        <f>IF(E54="","",IFERROR(INDEX(INDEX(Guide!$E$44:$R$46,0,Guide!$B$6),MATCH(E54,INDEX(Guide!$E$39:$R$41,0,Guide!$B$6),0)),""))</f>
        <v/>
      </c>
    </row>
    <row r="55" ht="17" customHeight="1">
      <c r="A55" s="29" t="n"/>
      <c r="B55" s="30" t="n"/>
      <c r="C55" s="30" t="n"/>
      <c r="D55" s="38" t="n"/>
      <c r="E55" s="16" t="n"/>
      <c r="F55" s="39">
        <f>IF(E55="","",INDEX(Guide!$B$51:$B$78,MATCH(E55,Guide!$A$51:$A$78,0)))</f>
        <v/>
      </c>
      <c r="G55" s="32">
        <f>IF(OR(E55="",D55=""),"",D55*INDEX(Guide!$C$51:$C$78,MATCH(E55,Guide!$A$51:$A$78,0)))</f>
        <v/>
      </c>
      <c r="H55" s="40">
        <f>IF(E55="","",IF(COUNTIF(INDEX(Guide!$E$25:$R$36,0,Guide!$B$6),E55)&gt;0,"✓",""))</f>
        <v/>
      </c>
      <c r="I55" s="41">
        <f>IF(E55="","",IFERROR(INDEX(INDEX(Guide!$E$44:$R$46,0,Guide!$B$6),MATCH(E55,INDEX(Guide!$E$39:$R$41,0,Guide!$B$6),0)),""))</f>
        <v/>
      </c>
    </row>
    <row r="56" ht="17" customHeight="1">
      <c r="A56" s="29" t="n"/>
      <c r="B56" s="30" t="n"/>
      <c r="C56" s="30" t="n"/>
      <c r="D56" s="38" t="n"/>
      <c r="E56" s="16" t="n"/>
      <c r="F56" s="39">
        <f>IF(E56="","",INDEX(Guide!$B$51:$B$78,MATCH(E56,Guide!$A$51:$A$78,0)))</f>
        <v/>
      </c>
      <c r="G56" s="32">
        <f>IF(OR(E56="",D56=""),"",D56*INDEX(Guide!$C$51:$C$78,MATCH(E56,Guide!$A$51:$A$78,0)))</f>
        <v/>
      </c>
      <c r="H56" s="40">
        <f>IF(E56="","",IF(COUNTIF(INDEX(Guide!$E$25:$R$36,0,Guide!$B$6),E56)&gt;0,"✓",""))</f>
        <v/>
      </c>
      <c r="I56" s="41">
        <f>IF(E56="","",IFERROR(INDEX(INDEX(Guide!$E$44:$R$46,0,Guide!$B$6),MATCH(E56,INDEX(Guide!$E$39:$R$41,0,Guide!$B$6),0)),""))</f>
        <v/>
      </c>
    </row>
    <row r="57" ht="17" customHeight="1">
      <c r="A57" s="29" t="n"/>
      <c r="B57" s="30" t="n"/>
      <c r="C57" s="30" t="n"/>
      <c r="D57" s="38" t="n"/>
      <c r="E57" s="16" t="n"/>
      <c r="F57" s="39">
        <f>IF(E57="","",INDEX(Guide!$B$51:$B$78,MATCH(E57,Guide!$A$51:$A$78,0)))</f>
        <v/>
      </c>
      <c r="G57" s="32">
        <f>IF(OR(E57="",D57=""),"",D57*INDEX(Guide!$C$51:$C$78,MATCH(E57,Guide!$A$51:$A$78,0)))</f>
        <v/>
      </c>
      <c r="H57" s="40">
        <f>IF(E57="","",IF(COUNTIF(INDEX(Guide!$E$25:$R$36,0,Guide!$B$6),E57)&gt;0,"✓",""))</f>
        <v/>
      </c>
      <c r="I57" s="41">
        <f>IF(E57="","",IFERROR(INDEX(INDEX(Guide!$E$44:$R$46,0,Guide!$B$6),MATCH(E57,INDEX(Guide!$E$39:$R$41,0,Guide!$B$6),0)),""))</f>
        <v/>
      </c>
    </row>
    <row r="58" ht="17" customHeight="1">
      <c r="A58" s="29" t="n"/>
      <c r="B58" s="30" t="n"/>
      <c r="C58" s="30" t="n"/>
      <c r="D58" s="38" t="n"/>
      <c r="E58" s="16" t="n"/>
      <c r="F58" s="39">
        <f>IF(E58="","",INDEX(Guide!$B$51:$B$78,MATCH(E58,Guide!$A$51:$A$78,0)))</f>
        <v/>
      </c>
      <c r="G58" s="32">
        <f>IF(OR(E58="",D58=""),"",D58*INDEX(Guide!$C$51:$C$78,MATCH(E58,Guide!$A$51:$A$78,0)))</f>
        <v/>
      </c>
      <c r="H58" s="40">
        <f>IF(E58="","",IF(COUNTIF(INDEX(Guide!$E$25:$R$36,0,Guide!$B$6),E58)&gt;0,"✓",""))</f>
        <v/>
      </c>
      <c r="I58" s="41">
        <f>IF(E58="","",IFERROR(INDEX(INDEX(Guide!$E$44:$R$46,0,Guide!$B$6),MATCH(E58,INDEX(Guide!$E$39:$R$41,0,Guide!$B$6),0)),""))</f>
        <v/>
      </c>
    </row>
    <row r="59" ht="17" customHeight="1">
      <c r="A59" s="29" t="n"/>
      <c r="B59" s="30" t="n"/>
      <c r="C59" s="30" t="n"/>
      <c r="D59" s="38" t="n"/>
      <c r="E59" s="16" t="n"/>
      <c r="F59" s="39">
        <f>IF(E59="","",INDEX(Guide!$B$51:$B$78,MATCH(E59,Guide!$A$51:$A$78,0)))</f>
        <v/>
      </c>
      <c r="G59" s="32">
        <f>IF(OR(E59="",D59=""),"",D59*INDEX(Guide!$C$51:$C$78,MATCH(E59,Guide!$A$51:$A$78,0)))</f>
        <v/>
      </c>
      <c r="H59" s="40">
        <f>IF(E59="","",IF(COUNTIF(INDEX(Guide!$E$25:$R$36,0,Guide!$B$6),E59)&gt;0,"✓",""))</f>
        <v/>
      </c>
      <c r="I59" s="41">
        <f>IF(E59="","",IFERROR(INDEX(INDEX(Guide!$E$44:$R$46,0,Guide!$B$6),MATCH(E59,INDEX(Guide!$E$39:$R$41,0,Guide!$B$6),0)),""))</f>
        <v/>
      </c>
    </row>
    <row r="60" ht="17" customHeight="1">
      <c r="A60" s="29" t="n"/>
      <c r="B60" s="30" t="n"/>
      <c r="C60" s="30" t="n"/>
      <c r="D60" s="38" t="n"/>
      <c r="E60" s="16" t="n"/>
      <c r="F60" s="39">
        <f>IF(E60="","",INDEX(Guide!$B$51:$B$78,MATCH(E60,Guide!$A$51:$A$78,0)))</f>
        <v/>
      </c>
      <c r="G60" s="32">
        <f>IF(OR(E60="",D60=""),"",D60*INDEX(Guide!$C$51:$C$78,MATCH(E60,Guide!$A$51:$A$78,0)))</f>
        <v/>
      </c>
      <c r="H60" s="40">
        <f>IF(E60="","",IF(COUNTIF(INDEX(Guide!$E$25:$R$36,0,Guide!$B$6),E60)&gt;0,"✓",""))</f>
        <v/>
      </c>
      <c r="I60" s="41">
        <f>IF(E60="","",IFERROR(INDEX(INDEX(Guide!$E$44:$R$46,0,Guide!$B$6),MATCH(E60,INDEX(Guide!$E$39:$R$41,0,Guide!$B$6),0)),""))</f>
        <v/>
      </c>
    </row>
    <row r="61" ht="17" customHeight="1">
      <c r="A61" s="29" t="n"/>
      <c r="B61" s="30" t="n"/>
      <c r="C61" s="30" t="n"/>
      <c r="D61" s="38" t="n"/>
      <c r="E61" s="16" t="n"/>
      <c r="F61" s="39">
        <f>IF(E61="","",INDEX(Guide!$B$51:$B$78,MATCH(E61,Guide!$A$51:$A$78,0)))</f>
        <v/>
      </c>
      <c r="G61" s="32">
        <f>IF(OR(E61="",D61=""),"",D61*INDEX(Guide!$C$51:$C$78,MATCH(E61,Guide!$A$51:$A$78,0)))</f>
        <v/>
      </c>
      <c r="H61" s="40">
        <f>IF(E61="","",IF(COUNTIF(INDEX(Guide!$E$25:$R$36,0,Guide!$B$6),E61)&gt;0,"✓",""))</f>
        <v/>
      </c>
      <c r="I61" s="41">
        <f>IF(E61="","",IFERROR(INDEX(INDEX(Guide!$E$44:$R$46,0,Guide!$B$6),MATCH(E61,INDEX(Guide!$E$39:$R$41,0,Guide!$B$6),0)),""))</f>
        <v/>
      </c>
    </row>
    <row r="62" ht="17" customHeight="1">
      <c r="A62" s="29" t="n"/>
      <c r="B62" s="30" t="n"/>
      <c r="C62" s="30" t="n"/>
      <c r="D62" s="38" t="n"/>
      <c r="E62" s="16" t="n"/>
      <c r="F62" s="39">
        <f>IF(E62="","",INDEX(Guide!$B$51:$B$78,MATCH(E62,Guide!$A$51:$A$78,0)))</f>
        <v/>
      </c>
      <c r="G62" s="32">
        <f>IF(OR(E62="",D62=""),"",D62*INDEX(Guide!$C$51:$C$78,MATCH(E62,Guide!$A$51:$A$78,0)))</f>
        <v/>
      </c>
      <c r="H62" s="40">
        <f>IF(E62="","",IF(COUNTIF(INDEX(Guide!$E$25:$R$36,0,Guide!$B$6),E62)&gt;0,"✓",""))</f>
        <v/>
      </c>
      <c r="I62" s="41">
        <f>IF(E62="","",IFERROR(INDEX(INDEX(Guide!$E$44:$R$46,0,Guide!$B$6),MATCH(E62,INDEX(Guide!$E$39:$R$41,0,Guide!$B$6),0)),""))</f>
        <v/>
      </c>
    </row>
    <row r="63" ht="17" customHeight="1">
      <c r="A63" s="29" t="n"/>
      <c r="B63" s="30" t="n"/>
      <c r="C63" s="30" t="n"/>
      <c r="D63" s="38" t="n"/>
      <c r="E63" s="16" t="n"/>
      <c r="F63" s="39">
        <f>IF(E63="","",INDEX(Guide!$B$51:$B$78,MATCH(E63,Guide!$A$51:$A$78,0)))</f>
        <v/>
      </c>
      <c r="G63" s="32">
        <f>IF(OR(E63="",D63=""),"",D63*INDEX(Guide!$C$51:$C$78,MATCH(E63,Guide!$A$51:$A$78,0)))</f>
        <v/>
      </c>
      <c r="H63" s="40">
        <f>IF(E63="","",IF(COUNTIF(INDEX(Guide!$E$25:$R$36,0,Guide!$B$6),E63)&gt;0,"✓",""))</f>
        <v/>
      </c>
      <c r="I63" s="41">
        <f>IF(E63="","",IFERROR(INDEX(INDEX(Guide!$E$44:$R$46,0,Guide!$B$6),MATCH(E63,INDEX(Guide!$E$39:$R$41,0,Guide!$B$6),0)),""))</f>
        <v/>
      </c>
    </row>
    <row r="64" ht="17" customHeight="1">
      <c r="A64" s="29" t="n"/>
      <c r="B64" s="30" t="n"/>
      <c r="C64" s="30" t="n"/>
      <c r="D64" s="38" t="n"/>
      <c r="E64" s="16" t="n"/>
      <c r="F64" s="39">
        <f>IF(E64="","",INDEX(Guide!$B$51:$B$78,MATCH(E64,Guide!$A$51:$A$78,0)))</f>
        <v/>
      </c>
      <c r="G64" s="32">
        <f>IF(OR(E64="",D64=""),"",D64*INDEX(Guide!$C$51:$C$78,MATCH(E64,Guide!$A$51:$A$78,0)))</f>
        <v/>
      </c>
      <c r="H64" s="40">
        <f>IF(E64="","",IF(COUNTIF(INDEX(Guide!$E$25:$R$36,0,Guide!$B$6),E64)&gt;0,"✓",""))</f>
        <v/>
      </c>
      <c r="I64" s="41">
        <f>IF(E64="","",IFERROR(INDEX(INDEX(Guide!$E$44:$R$46,0,Guide!$B$6),MATCH(E64,INDEX(Guide!$E$39:$R$41,0,Guide!$B$6),0)),""))</f>
        <v/>
      </c>
    </row>
    <row r="65" ht="17" customHeight="1">
      <c r="A65" s="29" t="n"/>
      <c r="B65" s="30" t="n"/>
      <c r="C65" s="30" t="n"/>
      <c r="D65" s="38" t="n"/>
      <c r="E65" s="16" t="n"/>
      <c r="F65" s="39">
        <f>IF(E65="","",INDEX(Guide!$B$51:$B$78,MATCH(E65,Guide!$A$51:$A$78,0)))</f>
        <v/>
      </c>
      <c r="G65" s="32">
        <f>IF(OR(E65="",D65=""),"",D65*INDEX(Guide!$C$51:$C$78,MATCH(E65,Guide!$A$51:$A$78,0)))</f>
        <v/>
      </c>
      <c r="H65" s="40">
        <f>IF(E65="","",IF(COUNTIF(INDEX(Guide!$E$25:$R$36,0,Guide!$B$6),E65)&gt;0,"✓",""))</f>
        <v/>
      </c>
      <c r="I65" s="41">
        <f>IF(E65="","",IFERROR(INDEX(INDEX(Guide!$E$44:$R$46,0,Guide!$B$6),MATCH(E65,INDEX(Guide!$E$39:$R$41,0,Guide!$B$6),0)),""))</f>
        <v/>
      </c>
    </row>
    <row r="66" ht="17" customHeight="1">
      <c r="A66" s="29" t="n"/>
      <c r="B66" s="30" t="n"/>
      <c r="C66" s="30" t="n"/>
      <c r="D66" s="38" t="n"/>
      <c r="E66" s="16" t="n"/>
      <c r="F66" s="39">
        <f>IF(E66="","",INDEX(Guide!$B$51:$B$78,MATCH(E66,Guide!$A$51:$A$78,0)))</f>
        <v/>
      </c>
      <c r="G66" s="32">
        <f>IF(OR(E66="",D66=""),"",D66*INDEX(Guide!$C$51:$C$78,MATCH(E66,Guide!$A$51:$A$78,0)))</f>
        <v/>
      </c>
      <c r="H66" s="40">
        <f>IF(E66="","",IF(COUNTIF(INDEX(Guide!$E$25:$R$36,0,Guide!$B$6),E66)&gt;0,"✓",""))</f>
        <v/>
      </c>
      <c r="I66" s="41">
        <f>IF(E66="","",IFERROR(INDEX(INDEX(Guide!$E$44:$R$46,0,Guide!$B$6),MATCH(E66,INDEX(Guide!$E$39:$R$41,0,Guide!$B$6),0)),""))</f>
        <v/>
      </c>
    </row>
    <row r="67" ht="17" customHeight="1">
      <c r="A67" s="29" t="n"/>
      <c r="B67" s="30" t="n"/>
      <c r="C67" s="30" t="n"/>
      <c r="D67" s="38" t="n"/>
      <c r="E67" s="16" t="n"/>
      <c r="F67" s="39">
        <f>IF(E67="","",INDEX(Guide!$B$51:$B$78,MATCH(E67,Guide!$A$51:$A$78,0)))</f>
        <v/>
      </c>
      <c r="G67" s="32">
        <f>IF(OR(E67="",D67=""),"",D67*INDEX(Guide!$C$51:$C$78,MATCH(E67,Guide!$A$51:$A$78,0)))</f>
        <v/>
      </c>
      <c r="H67" s="40">
        <f>IF(E67="","",IF(COUNTIF(INDEX(Guide!$E$25:$R$36,0,Guide!$B$6),E67)&gt;0,"✓",""))</f>
        <v/>
      </c>
      <c r="I67" s="41">
        <f>IF(E67="","",IFERROR(INDEX(INDEX(Guide!$E$44:$R$46,0,Guide!$B$6),MATCH(E67,INDEX(Guide!$E$39:$R$41,0,Guide!$B$6),0)),""))</f>
        <v/>
      </c>
    </row>
    <row r="68" ht="17" customHeight="1">
      <c r="A68" s="29" t="n"/>
      <c r="B68" s="30" t="n"/>
      <c r="C68" s="30" t="n"/>
      <c r="D68" s="38" t="n"/>
      <c r="E68" s="16" t="n"/>
      <c r="F68" s="39">
        <f>IF(E68="","",INDEX(Guide!$B$51:$B$78,MATCH(E68,Guide!$A$51:$A$78,0)))</f>
        <v/>
      </c>
      <c r="G68" s="32">
        <f>IF(OR(E68="",D68=""),"",D68*INDEX(Guide!$C$51:$C$78,MATCH(E68,Guide!$A$51:$A$78,0)))</f>
        <v/>
      </c>
      <c r="H68" s="40">
        <f>IF(E68="","",IF(COUNTIF(INDEX(Guide!$E$25:$R$36,0,Guide!$B$6),E68)&gt;0,"✓",""))</f>
        <v/>
      </c>
      <c r="I68" s="41">
        <f>IF(E68="","",IFERROR(INDEX(INDEX(Guide!$E$44:$R$46,0,Guide!$B$6),MATCH(E68,INDEX(Guide!$E$39:$R$41,0,Guide!$B$6),0)),""))</f>
        <v/>
      </c>
    </row>
    <row r="69" ht="17" customHeight="1">
      <c r="A69" s="29" t="n"/>
      <c r="B69" s="30" t="n"/>
      <c r="C69" s="30" t="n"/>
      <c r="D69" s="38" t="n"/>
      <c r="E69" s="16" t="n"/>
      <c r="F69" s="39">
        <f>IF(E69="","",INDEX(Guide!$B$51:$B$78,MATCH(E69,Guide!$A$51:$A$78,0)))</f>
        <v/>
      </c>
      <c r="G69" s="32">
        <f>IF(OR(E69="",D69=""),"",D69*INDEX(Guide!$C$51:$C$78,MATCH(E69,Guide!$A$51:$A$78,0)))</f>
        <v/>
      </c>
      <c r="H69" s="40">
        <f>IF(E69="","",IF(COUNTIF(INDEX(Guide!$E$25:$R$36,0,Guide!$B$6),E69)&gt;0,"✓",""))</f>
        <v/>
      </c>
      <c r="I69" s="41">
        <f>IF(E69="","",IFERROR(INDEX(INDEX(Guide!$E$44:$R$46,0,Guide!$B$6),MATCH(E69,INDEX(Guide!$E$39:$R$41,0,Guide!$B$6),0)),""))</f>
        <v/>
      </c>
    </row>
    <row r="70" ht="17" customHeight="1">
      <c r="A70" s="29" t="n"/>
      <c r="B70" s="30" t="n"/>
      <c r="C70" s="30" t="n"/>
      <c r="D70" s="38" t="n"/>
      <c r="E70" s="16" t="n"/>
      <c r="F70" s="39">
        <f>IF(E70="","",INDEX(Guide!$B$51:$B$78,MATCH(E70,Guide!$A$51:$A$78,0)))</f>
        <v/>
      </c>
      <c r="G70" s="32">
        <f>IF(OR(E70="",D70=""),"",D70*INDEX(Guide!$C$51:$C$78,MATCH(E70,Guide!$A$51:$A$78,0)))</f>
        <v/>
      </c>
      <c r="H70" s="40">
        <f>IF(E70="","",IF(COUNTIF(INDEX(Guide!$E$25:$R$36,0,Guide!$B$6),E70)&gt;0,"✓",""))</f>
        <v/>
      </c>
      <c r="I70" s="41">
        <f>IF(E70="","",IFERROR(INDEX(INDEX(Guide!$E$44:$R$46,0,Guide!$B$6),MATCH(E70,INDEX(Guide!$E$39:$R$41,0,Guide!$B$6),0)),""))</f>
        <v/>
      </c>
    </row>
    <row r="71" ht="17" customHeight="1">
      <c r="A71" s="29" t="n"/>
      <c r="B71" s="30" t="n"/>
      <c r="C71" s="30" t="n"/>
      <c r="D71" s="38" t="n"/>
      <c r="E71" s="16" t="n"/>
      <c r="F71" s="39">
        <f>IF(E71="","",INDEX(Guide!$B$51:$B$78,MATCH(E71,Guide!$A$51:$A$78,0)))</f>
        <v/>
      </c>
      <c r="G71" s="32">
        <f>IF(OR(E71="",D71=""),"",D71*INDEX(Guide!$C$51:$C$78,MATCH(E71,Guide!$A$51:$A$78,0)))</f>
        <v/>
      </c>
      <c r="H71" s="40">
        <f>IF(E71="","",IF(COUNTIF(INDEX(Guide!$E$25:$R$36,0,Guide!$B$6),E71)&gt;0,"✓",""))</f>
        <v/>
      </c>
      <c r="I71" s="41">
        <f>IF(E71="","",IFERROR(INDEX(INDEX(Guide!$E$44:$R$46,0,Guide!$B$6),MATCH(E71,INDEX(Guide!$E$39:$R$41,0,Guide!$B$6),0)),""))</f>
        <v/>
      </c>
    </row>
    <row r="72" ht="17" customHeight="1">
      <c r="A72" s="29" t="n"/>
      <c r="B72" s="30" t="n"/>
      <c r="C72" s="30" t="n"/>
      <c r="D72" s="38" t="n"/>
      <c r="E72" s="16" t="n"/>
      <c r="F72" s="39">
        <f>IF(E72="","",INDEX(Guide!$B$51:$B$78,MATCH(E72,Guide!$A$51:$A$78,0)))</f>
        <v/>
      </c>
      <c r="G72" s="32">
        <f>IF(OR(E72="",D72=""),"",D72*INDEX(Guide!$C$51:$C$78,MATCH(E72,Guide!$A$51:$A$78,0)))</f>
        <v/>
      </c>
      <c r="H72" s="40">
        <f>IF(E72="","",IF(COUNTIF(INDEX(Guide!$E$25:$R$36,0,Guide!$B$6),E72)&gt;0,"✓",""))</f>
        <v/>
      </c>
      <c r="I72" s="41">
        <f>IF(E72="","",IFERROR(INDEX(INDEX(Guide!$E$44:$R$46,0,Guide!$B$6),MATCH(E72,INDEX(Guide!$E$39:$R$41,0,Guide!$B$6),0)),""))</f>
        <v/>
      </c>
    </row>
    <row r="73" ht="17" customHeight="1">
      <c r="A73" s="29" t="n"/>
      <c r="B73" s="30" t="n"/>
      <c r="C73" s="30" t="n"/>
      <c r="D73" s="38" t="n"/>
      <c r="E73" s="16" t="n"/>
      <c r="F73" s="39">
        <f>IF(E73="","",INDEX(Guide!$B$51:$B$78,MATCH(E73,Guide!$A$51:$A$78,0)))</f>
        <v/>
      </c>
      <c r="G73" s="32">
        <f>IF(OR(E73="",D73=""),"",D73*INDEX(Guide!$C$51:$C$78,MATCH(E73,Guide!$A$51:$A$78,0)))</f>
        <v/>
      </c>
      <c r="H73" s="40">
        <f>IF(E73="","",IF(COUNTIF(INDEX(Guide!$E$25:$R$36,0,Guide!$B$6),E73)&gt;0,"✓",""))</f>
        <v/>
      </c>
      <c r="I73" s="41">
        <f>IF(E73="","",IFERROR(INDEX(INDEX(Guide!$E$44:$R$46,0,Guide!$B$6),MATCH(E73,INDEX(Guide!$E$39:$R$41,0,Guide!$B$6),0)),""))</f>
        <v/>
      </c>
    </row>
    <row r="74" ht="17" customHeight="1">
      <c r="A74" s="29" t="n"/>
      <c r="B74" s="30" t="n"/>
      <c r="C74" s="30" t="n"/>
      <c r="D74" s="38" t="n"/>
      <c r="E74" s="16" t="n"/>
      <c r="F74" s="39">
        <f>IF(E74="","",INDEX(Guide!$B$51:$B$78,MATCH(E74,Guide!$A$51:$A$78,0)))</f>
        <v/>
      </c>
      <c r="G74" s="32">
        <f>IF(OR(E74="",D74=""),"",D74*INDEX(Guide!$C$51:$C$78,MATCH(E74,Guide!$A$51:$A$78,0)))</f>
        <v/>
      </c>
      <c r="H74" s="40">
        <f>IF(E74="","",IF(COUNTIF(INDEX(Guide!$E$25:$R$36,0,Guide!$B$6),E74)&gt;0,"✓",""))</f>
        <v/>
      </c>
      <c r="I74" s="41">
        <f>IF(E74="","",IFERROR(INDEX(INDEX(Guide!$E$44:$R$46,0,Guide!$B$6),MATCH(E74,INDEX(Guide!$E$39:$R$41,0,Guide!$B$6),0)),""))</f>
        <v/>
      </c>
    </row>
    <row r="75" ht="17" customHeight="1">
      <c r="A75" s="29" t="n"/>
      <c r="B75" s="30" t="n"/>
      <c r="C75" s="30" t="n"/>
      <c r="D75" s="38" t="n"/>
      <c r="E75" s="16" t="n"/>
      <c r="F75" s="39">
        <f>IF(E75="","",INDEX(Guide!$B$51:$B$78,MATCH(E75,Guide!$A$51:$A$78,0)))</f>
        <v/>
      </c>
      <c r="G75" s="32">
        <f>IF(OR(E75="",D75=""),"",D75*INDEX(Guide!$C$51:$C$78,MATCH(E75,Guide!$A$51:$A$78,0)))</f>
        <v/>
      </c>
      <c r="H75" s="40">
        <f>IF(E75="","",IF(COUNTIF(INDEX(Guide!$E$25:$R$36,0,Guide!$B$6),E75)&gt;0,"✓",""))</f>
        <v/>
      </c>
      <c r="I75" s="41">
        <f>IF(E75="","",IFERROR(INDEX(INDEX(Guide!$E$44:$R$46,0,Guide!$B$6),MATCH(E75,INDEX(Guide!$E$39:$R$41,0,Guide!$B$6),0)),""))</f>
        <v/>
      </c>
    </row>
    <row r="76" ht="17" customHeight="1">
      <c r="A76" s="29" t="n"/>
      <c r="B76" s="30" t="n"/>
      <c r="C76" s="30" t="n"/>
      <c r="D76" s="38" t="n"/>
      <c r="E76" s="16" t="n"/>
      <c r="F76" s="39">
        <f>IF(E76="","",INDEX(Guide!$B$51:$B$78,MATCH(E76,Guide!$A$51:$A$78,0)))</f>
        <v/>
      </c>
      <c r="G76" s="32">
        <f>IF(OR(E76="",D76=""),"",D76*INDEX(Guide!$C$51:$C$78,MATCH(E76,Guide!$A$51:$A$78,0)))</f>
        <v/>
      </c>
      <c r="H76" s="40">
        <f>IF(E76="","",IF(COUNTIF(INDEX(Guide!$E$25:$R$36,0,Guide!$B$6),E76)&gt;0,"✓",""))</f>
        <v/>
      </c>
      <c r="I76" s="41">
        <f>IF(E76="","",IFERROR(INDEX(INDEX(Guide!$E$44:$R$46,0,Guide!$B$6),MATCH(E76,INDEX(Guide!$E$39:$R$41,0,Guide!$B$6),0)),""))</f>
        <v/>
      </c>
    </row>
    <row r="77" ht="17" customHeight="1">
      <c r="A77" s="29" t="n"/>
      <c r="B77" s="30" t="n"/>
      <c r="C77" s="30" t="n"/>
      <c r="D77" s="38" t="n"/>
      <c r="E77" s="16" t="n"/>
      <c r="F77" s="39">
        <f>IF(E77="","",INDEX(Guide!$B$51:$B$78,MATCH(E77,Guide!$A$51:$A$78,0)))</f>
        <v/>
      </c>
      <c r="G77" s="32">
        <f>IF(OR(E77="",D77=""),"",D77*INDEX(Guide!$C$51:$C$78,MATCH(E77,Guide!$A$51:$A$78,0)))</f>
        <v/>
      </c>
      <c r="H77" s="40">
        <f>IF(E77="","",IF(COUNTIF(INDEX(Guide!$E$25:$R$36,0,Guide!$B$6),E77)&gt;0,"✓",""))</f>
        <v/>
      </c>
      <c r="I77" s="41">
        <f>IF(E77="","",IFERROR(INDEX(INDEX(Guide!$E$44:$R$46,0,Guide!$B$6),MATCH(E77,INDEX(Guide!$E$39:$R$41,0,Guide!$B$6),0)),""))</f>
        <v/>
      </c>
    </row>
    <row r="78" ht="17" customHeight="1">
      <c r="A78" s="29" t="n"/>
      <c r="B78" s="30" t="n"/>
      <c r="C78" s="30" t="n"/>
      <c r="D78" s="38" t="n"/>
      <c r="E78" s="16" t="n"/>
      <c r="F78" s="39">
        <f>IF(E78="","",INDEX(Guide!$B$51:$B$78,MATCH(E78,Guide!$A$51:$A$78,0)))</f>
        <v/>
      </c>
      <c r="G78" s="32">
        <f>IF(OR(E78="",D78=""),"",D78*INDEX(Guide!$C$51:$C$78,MATCH(E78,Guide!$A$51:$A$78,0)))</f>
        <v/>
      </c>
      <c r="H78" s="40">
        <f>IF(E78="","",IF(COUNTIF(INDEX(Guide!$E$25:$R$36,0,Guide!$B$6),E78)&gt;0,"✓",""))</f>
        <v/>
      </c>
      <c r="I78" s="41">
        <f>IF(E78="","",IFERROR(INDEX(INDEX(Guide!$E$44:$R$46,0,Guide!$B$6),MATCH(E78,INDEX(Guide!$E$39:$R$41,0,Guide!$B$6),0)),""))</f>
        <v/>
      </c>
    </row>
    <row r="79" ht="17" customHeight="1">
      <c r="A79" s="29" t="n"/>
      <c r="B79" s="30" t="n"/>
      <c r="C79" s="30" t="n"/>
      <c r="D79" s="38" t="n"/>
      <c r="E79" s="16" t="n"/>
      <c r="F79" s="39">
        <f>IF(E79="","",INDEX(Guide!$B$51:$B$78,MATCH(E79,Guide!$A$51:$A$78,0)))</f>
        <v/>
      </c>
      <c r="G79" s="32">
        <f>IF(OR(E79="",D79=""),"",D79*INDEX(Guide!$C$51:$C$78,MATCH(E79,Guide!$A$51:$A$78,0)))</f>
        <v/>
      </c>
      <c r="H79" s="40">
        <f>IF(E79="","",IF(COUNTIF(INDEX(Guide!$E$25:$R$36,0,Guide!$B$6),E79)&gt;0,"✓",""))</f>
        <v/>
      </c>
      <c r="I79" s="41">
        <f>IF(E79="","",IFERROR(INDEX(INDEX(Guide!$E$44:$R$46,0,Guide!$B$6),MATCH(E79,INDEX(Guide!$E$39:$R$41,0,Guide!$B$6),0)),""))</f>
        <v/>
      </c>
    </row>
    <row r="80" ht="17" customHeight="1">
      <c r="A80" s="29" t="n"/>
      <c r="B80" s="30" t="n"/>
      <c r="C80" s="30" t="n"/>
      <c r="D80" s="38" t="n"/>
      <c r="E80" s="16" t="n"/>
      <c r="F80" s="39">
        <f>IF(E80="","",INDEX(Guide!$B$51:$B$78,MATCH(E80,Guide!$A$51:$A$78,0)))</f>
        <v/>
      </c>
      <c r="G80" s="32">
        <f>IF(OR(E80="",D80=""),"",D80*INDEX(Guide!$C$51:$C$78,MATCH(E80,Guide!$A$51:$A$78,0)))</f>
        <v/>
      </c>
      <c r="H80" s="40">
        <f>IF(E80="","",IF(COUNTIF(INDEX(Guide!$E$25:$R$36,0,Guide!$B$6),E80)&gt;0,"✓",""))</f>
        <v/>
      </c>
      <c r="I80" s="41">
        <f>IF(E80="","",IFERROR(INDEX(INDEX(Guide!$E$44:$R$46,0,Guide!$B$6),MATCH(E80,INDEX(Guide!$E$39:$R$41,0,Guide!$B$6),0)),""))</f>
        <v/>
      </c>
    </row>
    <row r="81" ht="17" customHeight="1">
      <c r="A81" s="29" t="n"/>
      <c r="B81" s="30" t="n"/>
      <c r="C81" s="30" t="n"/>
      <c r="D81" s="38" t="n"/>
      <c r="E81" s="16" t="n"/>
      <c r="F81" s="39">
        <f>IF(E81="","",INDEX(Guide!$B$51:$B$78,MATCH(E81,Guide!$A$51:$A$78,0)))</f>
        <v/>
      </c>
      <c r="G81" s="32">
        <f>IF(OR(E81="",D81=""),"",D81*INDEX(Guide!$C$51:$C$78,MATCH(E81,Guide!$A$51:$A$78,0)))</f>
        <v/>
      </c>
      <c r="H81" s="40">
        <f>IF(E81="","",IF(COUNTIF(INDEX(Guide!$E$25:$R$36,0,Guide!$B$6),E81)&gt;0,"✓",""))</f>
        <v/>
      </c>
      <c r="I81" s="41">
        <f>IF(E81="","",IFERROR(INDEX(INDEX(Guide!$E$44:$R$46,0,Guide!$B$6),MATCH(E81,INDEX(Guide!$E$39:$R$41,0,Guide!$B$6),0)),""))</f>
        <v/>
      </c>
    </row>
    <row r="82" ht="17" customHeight="1">
      <c r="A82" s="29" t="n"/>
      <c r="B82" s="30" t="n"/>
      <c r="C82" s="30" t="n"/>
      <c r="D82" s="38" t="n"/>
      <c r="E82" s="16" t="n"/>
      <c r="F82" s="39">
        <f>IF(E82="","",INDEX(Guide!$B$51:$B$78,MATCH(E82,Guide!$A$51:$A$78,0)))</f>
        <v/>
      </c>
      <c r="G82" s="32">
        <f>IF(OR(E82="",D82=""),"",D82*INDEX(Guide!$C$51:$C$78,MATCH(E82,Guide!$A$51:$A$78,0)))</f>
        <v/>
      </c>
      <c r="H82" s="40">
        <f>IF(E82="","",IF(COUNTIF(INDEX(Guide!$E$25:$R$36,0,Guide!$B$6),E82)&gt;0,"✓",""))</f>
        <v/>
      </c>
      <c r="I82" s="41">
        <f>IF(E82="","",IFERROR(INDEX(INDEX(Guide!$E$44:$R$46,0,Guide!$B$6),MATCH(E82,INDEX(Guide!$E$39:$R$41,0,Guide!$B$6),0)),""))</f>
        <v/>
      </c>
    </row>
    <row r="83" ht="17" customHeight="1">
      <c r="A83" s="29" t="n"/>
      <c r="B83" s="30" t="n"/>
      <c r="C83" s="30" t="n"/>
      <c r="D83" s="38" t="n"/>
      <c r="E83" s="16" t="n"/>
      <c r="F83" s="39">
        <f>IF(E83="","",INDEX(Guide!$B$51:$B$78,MATCH(E83,Guide!$A$51:$A$78,0)))</f>
        <v/>
      </c>
      <c r="G83" s="32">
        <f>IF(OR(E83="",D83=""),"",D83*INDEX(Guide!$C$51:$C$78,MATCH(E83,Guide!$A$51:$A$78,0)))</f>
        <v/>
      </c>
      <c r="H83" s="40">
        <f>IF(E83="","",IF(COUNTIF(INDEX(Guide!$E$25:$R$36,0,Guide!$B$6),E83)&gt;0,"✓",""))</f>
        <v/>
      </c>
      <c r="I83" s="41">
        <f>IF(E83="","",IFERROR(INDEX(INDEX(Guide!$E$44:$R$46,0,Guide!$B$6),MATCH(E83,INDEX(Guide!$E$39:$R$41,0,Guide!$B$6),0)),""))</f>
        <v/>
      </c>
    </row>
    <row r="84" ht="17" customHeight="1">
      <c r="A84" s="29" t="n"/>
      <c r="B84" s="30" t="n"/>
      <c r="C84" s="30" t="n"/>
      <c r="D84" s="38" t="n"/>
      <c r="E84" s="16" t="n"/>
      <c r="F84" s="39">
        <f>IF(E84="","",INDEX(Guide!$B$51:$B$78,MATCH(E84,Guide!$A$51:$A$78,0)))</f>
        <v/>
      </c>
      <c r="G84" s="32">
        <f>IF(OR(E84="",D84=""),"",D84*INDEX(Guide!$C$51:$C$78,MATCH(E84,Guide!$A$51:$A$78,0)))</f>
        <v/>
      </c>
      <c r="H84" s="40">
        <f>IF(E84="","",IF(COUNTIF(INDEX(Guide!$E$25:$R$36,0,Guide!$B$6),E84)&gt;0,"✓",""))</f>
        <v/>
      </c>
      <c r="I84" s="41">
        <f>IF(E84="","",IFERROR(INDEX(INDEX(Guide!$E$44:$R$46,0,Guide!$B$6),MATCH(E84,INDEX(Guide!$E$39:$R$41,0,Guide!$B$6),0)),""))</f>
        <v/>
      </c>
    </row>
    <row r="85" ht="17" customHeight="1">
      <c r="A85" s="29" t="n"/>
      <c r="B85" s="30" t="n"/>
      <c r="C85" s="30" t="n"/>
      <c r="D85" s="38" t="n"/>
      <c r="E85" s="16" t="n"/>
      <c r="F85" s="39">
        <f>IF(E85="","",INDEX(Guide!$B$51:$B$78,MATCH(E85,Guide!$A$51:$A$78,0)))</f>
        <v/>
      </c>
      <c r="G85" s="32">
        <f>IF(OR(E85="",D85=""),"",D85*INDEX(Guide!$C$51:$C$78,MATCH(E85,Guide!$A$51:$A$78,0)))</f>
        <v/>
      </c>
      <c r="H85" s="40">
        <f>IF(E85="","",IF(COUNTIF(INDEX(Guide!$E$25:$R$36,0,Guide!$B$6),E85)&gt;0,"✓",""))</f>
        <v/>
      </c>
      <c r="I85" s="41">
        <f>IF(E85="","",IFERROR(INDEX(INDEX(Guide!$E$44:$R$46,0,Guide!$B$6),MATCH(E85,INDEX(Guide!$E$39:$R$41,0,Guide!$B$6),0)),""))</f>
        <v/>
      </c>
    </row>
    <row r="86" ht="17" customHeight="1">
      <c r="A86" s="29" t="n"/>
      <c r="B86" s="30" t="n"/>
      <c r="C86" s="30" t="n"/>
      <c r="D86" s="38" t="n"/>
      <c r="E86" s="16" t="n"/>
      <c r="F86" s="39">
        <f>IF(E86="","",INDEX(Guide!$B$51:$B$78,MATCH(E86,Guide!$A$51:$A$78,0)))</f>
        <v/>
      </c>
      <c r="G86" s="32">
        <f>IF(OR(E86="",D86=""),"",D86*INDEX(Guide!$C$51:$C$78,MATCH(E86,Guide!$A$51:$A$78,0)))</f>
        <v/>
      </c>
      <c r="H86" s="40">
        <f>IF(E86="","",IF(COUNTIF(INDEX(Guide!$E$25:$R$36,0,Guide!$B$6),E86)&gt;0,"✓",""))</f>
        <v/>
      </c>
      <c r="I86" s="41">
        <f>IF(E86="","",IFERROR(INDEX(INDEX(Guide!$E$44:$R$46,0,Guide!$B$6),MATCH(E86,INDEX(Guide!$E$39:$R$41,0,Guide!$B$6),0)),""))</f>
        <v/>
      </c>
    </row>
    <row r="87" ht="17" customHeight="1">
      <c r="A87" s="29" t="n"/>
      <c r="B87" s="30" t="n"/>
      <c r="C87" s="30" t="n"/>
      <c r="D87" s="38" t="n"/>
      <c r="E87" s="16" t="n"/>
      <c r="F87" s="39">
        <f>IF(E87="","",INDEX(Guide!$B$51:$B$78,MATCH(E87,Guide!$A$51:$A$78,0)))</f>
        <v/>
      </c>
      <c r="G87" s="32">
        <f>IF(OR(E87="",D87=""),"",D87*INDEX(Guide!$C$51:$C$78,MATCH(E87,Guide!$A$51:$A$78,0)))</f>
        <v/>
      </c>
      <c r="H87" s="40">
        <f>IF(E87="","",IF(COUNTIF(INDEX(Guide!$E$25:$R$36,0,Guide!$B$6),E87)&gt;0,"✓",""))</f>
        <v/>
      </c>
      <c r="I87" s="41">
        <f>IF(E87="","",IFERROR(INDEX(INDEX(Guide!$E$44:$R$46,0,Guide!$B$6),MATCH(E87,INDEX(Guide!$E$39:$R$41,0,Guide!$B$6),0)),""))</f>
        <v/>
      </c>
    </row>
    <row r="88" ht="17" customHeight="1">
      <c r="A88" s="29" t="n"/>
      <c r="B88" s="30" t="n"/>
      <c r="C88" s="30" t="n"/>
      <c r="D88" s="38" t="n"/>
      <c r="E88" s="16" t="n"/>
      <c r="F88" s="39">
        <f>IF(E88="","",INDEX(Guide!$B$51:$B$78,MATCH(E88,Guide!$A$51:$A$78,0)))</f>
        <v/>
      </c>
      <c r="G88" s="32">
        <f>IF(OR(E88="",D88=""),"",D88*INDEX(Guide!$C$51:$C$78,MATCH(E88,Guide!$A$51:$A$78,0)))</f>
        <v/>
      </c>
      <c r="H88" s="40">
        <f>IF(E88="","",IF(COUNTIF(INDEX(Guide!$E$25:$R$36,0,Guide!$B$6),E88)&gt;0,"✓",""))</f>
        <v/>
      </c>
      <c r="I88" s="41">
        <f>IF(E88="","",IFERROR(INDEX(INDEX(Guide!$E$44:$R$46,0,Guide!$B$6),MATCH(E88,INDEX(Guide!$E$39:$R$41,0,Guide!$B$6),0)),""))</f>
        <v/>
      </c>
    </row>
    <row r="89" ht="17" customHeight="1">
      <c r="A89" s="29" t="n"/>
      <c r="B89" s="30" t="n"/>
      <c r="C89" s="30" t="n"/>
      <c r="D89" s="38" t="n"/>
      <c r="E89" s="16" t="n"/>
      <c r="F89" s="39">
        <f>IF(E89="","",INDEX(Guide!$B$51:$B$78,MATCH(E89,Guide!$A$51:$A$78,0)))</f>
        <v/>
      </c>
      <c r="G89" s="32">
        <f>IF(OR(E89="",D89=""),"",D89*INDEX(Guide!$C$51:$C$78,MATCH(E89,Guide!$A$51:$A$78,0)))</f>
        <v/>
      </c>
      <c r="H89" s="40">
        <f>IF(E89="","",IF(COUNTIF(INDEX(Guide!$E$25:$R$36,0,Guide!$B$6),E89)&gt;0,"✓",""))</f>
        <v/>
      </c>
      <c r="I89" s="41">
        <f>IF(E89="","",IFERROR(INDEX(INDEX(Guide!$E$44:$R$46,0,Guide!$B$6),MATCH(E89,INDEX(Guide!$E$39:$R$41,0,Guide!$B$6),0)),""))</f>
        <v/>
      </c>
    </row>
    <row r="90" ht="17" customHeight="1">
      <c r="A90" s="29" t="n"/>
      <c r="B90" s="30" t="n"/>
      <c r="C90" s="30" t="n"/>
      <c r="D90" s="38" t="n"/>
      <c r="E90" s="16" t="n"/>
      <c r="F90" s="39">
        <f>IF(E90="","",INDEX(Guide!$B$51:$B$78,MATCH(E90,Guide!$A$51:$A$78,0)))</f>
        <v/>
      </c>
      <c r="G90" s="32">
        <f>IF(OR(E90="",D90=""),"",D90*INDEX(Guide!$C$51:$C$78,MATCH(E90,Guide!$A$51:$A$78,0)))</f>
        <v/>
      </c>
      <c r="H90" s="40">
        <f>IF(E90="","",IF(COUNTIF(INDEX(Guide!$E$25:$R$36,0,Guide!$B$6),E90)&gt;0,"✓",""))</f>
        <v/>
      </c>
      <c r="I90" s="41">
        <f>IF(E90="","",IFERROR(INDEX(INDEX(Guide!$E$44:$R$46,0,Guide!$B$6),MATCH(E90,INDEX(Guide!$E$39:$R$41,0,Guide!$B$6),0)),""))</f>
        <v/>
      </c>
    </row>
    <row r="91" ht="17" customHeight="1">
      <c r="A91" s="29" t="n"/>
      <c r="B91" s="30" t="n"/>
      <c r="C91" s="30" t="n"/>
      <c r="D91" s="38" t="n"/>
      <c r="E91" s="16" t="n"/>
      <c r="F91" s="39">
        <f>IF(E91="","",INDEX(Guide!$B$51:$B$78,MATCH(E91,Guide!$A$51:$A$78,0)))</f>
        <v/>
      </c>
      <c r="G91" s="32">
        <f>IF(OR(E91="",D91=""),"",D91*INDEX(Guide!$C$51:$C$78,MATCH(E91,Guide!$A$51:$A$78,0)))</f>
        <v/>
      </c>
      <c r="H91" s="40">
        <f>IF(E91="","",IF(COUNTIF(INDEX(Guide!$E$25:$R$36,0,Guide!$B$6),E91)&gt;0,"✓",""))</f>
        <v/>
      </c>
      <c r="I91" s="41">
        <f>IF(E91="","",IFERROR(INDEX(INDEX(Guide!$E$44:$R$46,0,Guide!$B$6),MATCH(E91,INDEX(Guide!$E$39:$R$41,0,Guide!$B$6),0)),""))</f>
        <v/>
      </c>
    </row>
    <row r="92" ht="17" customHeight="1">
      <c r="A92" s="29" t="n"/>
      <c r="B92" s="30" t="n"/>
      <c r="C92" s="30" t="n"/>
      <c r="D92" s="38" t="n"/>
      <c r="E92" s="16" t="n"/>
      <c r="F92" s="39">
        <f>IF(E92="","",INDEX(Guide!$B$51:$B$78,MATCH(E92,Guide!$A$51:$A$78,0)))</f>
        <v/>
      </c>
      <c r="G92" s="32">
        <f>IF(OR(E92="",D92=""),"",D92*INDEX(Guide!$C$51:$C$78,MATCH(E92,Guide!$A$51:$A$78,0)))</f>
        <v/>
      </c>
      <c r="H92" s="40">
        <f>IF(E92="","",IF(COUNTIF(INDEX(Guide!$E$25:$R$36,0,Guide!$B$6),E92)&gt;0,"✓",""))</f>
        <v/>
      </c>
      <c r="I92" s="41">
        <f>IF(E92="","",IFERROR(INDEX(INDEX(Guide!$E$44:$R$46,0,Guide!$B$6),MATCH(E92,INDEX(Guide!$E$39:$R$41,0,Guide!$B$6),0)),""))</f>
        <v/>
      </c>
    </row>
    <row r="93" ht="17" customHeight="1">
      <c r="A93" s="29" t="n"/>
      <c r="B93" s="30" t="n"/>
      <c r="C93" s="30" t="n"/>
      <c r="D93" s="38" t="n"/>
      <c r="E93" s="16" t="n"/>
      <c r="F93" s="39">
        <f>IF(E93="","",INDEX(Guide!$B$51:$B$78,MATCH(E93,Guide!$A$51:$A$78,0)))</f>
        <v/>
      </c>
      <c r="G93" s="32">
        <f>IF(OR(E93="",D93=""),"",D93*INDEX(Guide!$C$51:$C$78,MATCH(E93,Guide!$A$51:$A$78,0)))</f>
        <v/>
      </c>
      <c r="H93" s="40">
        <f>IF(E93="","",IF(COUNTIF(INDEX(Guide!$E$25:$R$36,0,Guide!$B$6),E93)&gt;0,"✓",""))</f>
        <v/>
      </c>
      <c r="I93" s="41">
        <f>IF(E93="","",IFERROR(INDEX(INDEX(Guide!$E$44:$R$46,0,Guide!$B$6),MATCH(E93,INDEX(Guide!$E$39:$R$41,0,Guide!$B$6),0)),""))</f>
        <v/>
      </c>
    </row>
    <row r="94" ht="17" customHeight="1">
      <c r="A94" s="29" t="n"/>
      <c r="B94" s="30" t="n"/>
      <c r="C94" s="30" t="n"/>
      <c r="D94" s="38" t="n"/>
      <c r="E94" s="16" t="n"/>
      <c r="F94" s="39">
        <f>IF(E94="","",INDEX(Guide!$B$51:$B$78,MATCH(E94,Guide!$A$51:$A$78,0)))</f>
        <v/>
      </c>
      <c r="G94" s="32">
        <f>IF(OR(E94="",D94=""),"",D94*INDEX(Guide!$C$51:$C$78,MATCH(E94,Guide!$A$51:$A$78,0)))</f>
        <v/>
      </c>
      <c r="H94" s="40">
        <f>IF(E94="","",IF(COUNTIF(INDEX(Guide!$E$25:$R$36,0,Guide!$B$6),E94)&gt;0,"✓",""))</f>
        <v/>
      </c>
      <c r="I94" s="41">
        <f>IF(E94="","",IFERROR(INDEX(INDEX(Guide!$E$44:$R$46,0,Guide!$B$6),MATCH(E94,INDEX(Guide!$E$39:$R$41,0,Guide!$B$6),0)),""))</f>
        <v/>
      </c>
    </row>
    <row r="95" ht="17" customHeight="1">
      <c r="A95" s="29" t="n"/>
      <c r="B95" s="30" t="n"/>
      <c r="C95" s="30" t="n"/>
      <c r="D95" s="38" t="n"/>
      <c r="E95" s="16" t="n"/>
      <c r="F95" s="39">
        <f>IF(E95="","",INDEX(Guide!$B$51:$B$78,MATCH(E95,Guide!$A$51:$A$78,0)))</f>
        <v/>
      </c>
      <c r="G95" s="32">
        <f>IF(OR(E95="",D95=""),"",D95*INDEX(Guide!$C$51:$C$78,MATCH(E95,Guide!$A$51:$A$78,0)))</f>
        <v/>
      </c>
      <c r="H95" s="40">
        <f>IF(E95="","",IF(COUNTIF(INDEX(Guide!$E$25:$R$36,0,Guide!$B$6),E95)&gt;0,"✓",""))</f>
        <v/>
      </c>
      <c r="I95" s="41">
        <f>IF(E95="","",IFERROR(INDEX(INDEX(Guide!$E$44:$R$46,0,Guide!$B$6),MATCH(E95,INDEX(Guide!$E$39:$R$41,0,Guide!$B$6),0)),""))</f>
        <v/>
      </c>
    </row>
    <row r="96" ht="17" customHeight="1">
      <c r="A96" s="29" t="n"/>
      <c r="B96" s="30" t="n"/>
      <c r="C96" s="30" t="n"/>
      <c r="D96" s="38" t="n"/>
      <c r="E96" s="16" t="n"/>
      <c r="F96" s="39">
        <f>IF(E96="","",INDEX(Guide!$B$51:$B$78,MATCH(E96,Guide!$A$51:$A$78,0)))</f>
        <v/>
      </c>
      <c r="G96" s="32">
        <f>IF(OR(E96="",D96=""),"",D96*INDEX(Guide!$C$51:$C$78,MATCH(E96,Guide!$A$51:$A$78,0)))</f>
        <v/>
      </c>
      <c r="H96" s="40">
        <f>IF(E96="","",IF(COUNTIF(INDEX(Guide!$E$25:$R$36,0,Guide!$B$6),E96)&gt;0,"✓",""))</f>
        <v/>
      </c>
      <c r="I96" s="41">
        <f>IF(E96="","",IFERROR(INDEX(INDEX(Guide!$E$44:$R$46,0,Guide!$B$6),MATCH(E96,INDEX(Guide!$E$39:$R$41,0,Guide!$B$6),0)),""))</f>
        <v/>
      </c>
    </row>
    <row r="97" ht="17" customHeight="1">
      <c r="A97" s="29" t="n"/>
      <c r="B97" s="30" t="n"/>
      <c r="C97" s="30" t="n"/>
      <c r="D97" s="38" t="n"/>
      <c r="E97" s="16" t="n"/>
      <c r="F97" s="39">
        <f>IF(E97="","",INDEX(Guide!$B$51:$B$78,MATCH(E97,Guide!$A$51:$A$78,0)))</f>
        <v/>
      </c>
      <c r="G97" s="32">
        <f>IF(OR(E97="",D97=""),"",D97*INDEX(Guide!$C$51:$C$78,MATCH(E97,Guide!$A$51:$A$78,0)))</f>
        <v/>
      </c>
      <c r="H97" s="40">
        <f>IF(E97="","",IF(COUNTIF(INDEX(Guide!$E$25:$R$36,0,Guide!$B$6),E97)&gt;0,"✓",""))</f>
        <v/>
      </c>
      <c r="I97" s="41">
        <f>IF(E97="","",IFERROR(INDEX(INDEX(Guide!$E$44:$R$46,0,Guide!$B$6),MATCH(E97,INDEX(Guide!$E$39:$R$41,0,Guide!$B$6),0)),""))</f>
        <v/>
      </c>
    </row>
    <row r="98" ht="17" customHeight="1">
      <c r="A98" s="29" t="n"/>
      <c r="B98" s="30" t="n"/>
      <c r="C98" s="30" t="n"/>
      <c r="D98" s="38" t="n"/>
      <c r="E98" s="16" t="n"/>
      <c r="F98" s="39">
        <f>IF(E98="","",INDEX(Guide!$B$51:$B$78,MATCH(E98,Guide!$A$51:$A$78,0)))</f>
        <v/>
      </c>
      <c r="G98" s="32">
        <f>IF(OR(E98="",D98=""),"",D98*INDEX(Guide!$C$51:$C$78,MATCH(E98,Guide!$A$51:$A$78,0)))</f>
        <v/>
      </c>
      <c r="H98" s="40">
        <f>IF(E98="","",IF(COUNTIF(INDEX(Guide!$E$25:$R$36,0,Guide!$B$6),E98)&gt;0,"✓",""))</f>
        <v/>
      </c>
      <c r="I98" s="41">
        <f>IF(E98="","",IFERROR(INDEX(INDEX(Guide!$E$44:$R$46,0,Guide!$B$6),MATCH(E98,INDEX(Guide!$E$39:$R$41,0,Guide!$B$6),0)),""))</f>
        <v/>
      </c>
    </row>
    <row r="99" ht="17" customHeight="1">
      <c r="A99" s="29" t="n"/>
      <c r="B99" s="30" t="n"/>
      <c r="C99" s="30" t="n"/>
      <c r="D99" s="38" t="n"/>
      <c r="E99" s="16" t="n"/>
      <c r="F99" s="39">
        <f>IF(E99="","",INDEX(Guide!$B$51:$B$78,MATCH(E99,Guide!$A$51:$A$78,0)))</f>
        <v/>
      </c>
      <c r="G99" s="32">
        <f>IF(OR(E99="",D99=""),"",D99*INDEX(Guide!$C$51:$C$78,MATCH(E99,Guide!$A$51:$A$78,0)))</f>
        <v/>
      </c>
      <c r="H99" s="40">
        <f>IF(E99="","",IF(COUNTIF(INDEX(Guide!$E$25:$R$36,0,Guide!$B$6),E99)&gt;0,"✓",""))</f>
        <v/>
      </c>
      <c r="I99" s="41">
        <f>IF(E99="","",IFERROR(INDEX(INDEX(Guide!$E$44:$R$46,0,Guide!$B$6),MATCH(E99,INDEX(Guide!$E$39:$R$41,0,Guide!$B$6),0)),""))</f>
        <v/>
      </c>
    </row>
    <row r="100" ht="17" customHeight="1">
      <c r="A100" s="29" t="n"/>
      <c r="B100" s="30" t="n"/>
      <c r="C100" s="30" t="n"/>
      <c r="D100" s="38" t="n"/>
      <c r="E100" s="16" t="n"/>
      <c r="F100" s="39">
        <f>IF(E100="","",INDEX(Guide!$B$51:$B$78,MATCH(E100,Guide!$A$51:$A$78,0)))</f>
        <v/>
      </c>
      <c r="G100" s="32">
        <f>IF(OR(E100="",D100=""),"",D100*INDEX(Guide!$C$51:$C$78,MATCH(E100,Guide!$A$51:$A$78,0)))</f>
        <v/>
      </c>
      <c r="H100" s="40">
        <f>IF(E100="","",IF(COUNTIF(INDEX(Guide!$E$25:$R$36,0,Guide!$B$6),E100)&gt;0,"✓",""))</f>
        <v/>
      </c>
      <c r="I100" s="41">
        <f>IF(E100="","",IFERROR(INDEX(INDEX(Guide!$E$44:$R$46,0,Guide!$B$6),MATCH(E100,INDEX(Guide!$E$39:$R$41,0,Guide!$B$6),0)),""))</f>
        <v/>
      </c>
    </row>
    <row r="101" ht="17" customHeight="1">
      <c r="A101" s="29" t="n"/>
      <c r="B101" s="30" t="n"/>
      <c r="C101" s="30" t="n"/>
      <c r="D101" s="38" t="n"/>
      <c r="E101" s="16" t="n"/>
      <c r="F101" s="39">
        <f>IF(E101="","",INDEX(Guide!$B$51:$B$78,MATCH(E101,Guide!$A$51:$A$78,0)))</f>
        <v/>
      </c>
      <c r="G101" s="32">
        <f>IF(OR(E101="",D101=""),"",D101*INDEX(Guide!$C$51:$C$78,MATCH(E101,Guide!$A$51:$A$78,0)))</f>
        <v/>
      </c>
      <c r="H101" s="40">
        <f>IF(E101="","",IF(COUNTIF(INDEX(Guide!$E$25:$R$36,0,Guide!$B$6),E101)&gt;0,"✓",""))</f>
        <v/>
      </c>
      <c r="I101" s="41">
        <f>IF(E101="","",IFERROR(INDEX(INDEX(Guide!$E$44:$R$46,0,Guide!$B$6),MATCH(E101,INDEX(Guide!$E$39:$R$41,0,Guide!$B$6),0)),""))</f>
        <v/>
      </c>
    </row>
    <row r="102" ht="17" customHeight="1">
      <c r="A102" s="29" t="n"/>
      <c r="B102" s="30" t="n"/>
      <c r="C102" s="30" t="n"/>
      <c r="D102" s="38" t="n"/>
      <c r="E102" s="16" t="n"/>
      <c r="F102" s="39">
        <f>IF(E102="","",INDEX(Guide!$B$51:$B$78,MATCH(E102,Guide!$A$51:$A$78,0)))</f>
        <v/>
      </c>
      <c r="G102" s="32">
        <f>IF(OR(E102="",D102=""),"",D102*INDEX(Guide!$C$51:$C$78,MATCH(E102,Guide!$A$51:$A$78,0)))</f>
        <v/>
      </c>
      <c r="H102" s="40">
        <f>IF(E102="","",IF(COUNTIF(INDEX(Guide!$E$25:$R$36,0,Guide!$B$6),E102)&gt;0,"✓",""))</f>
        <v/>
      </c>
      <c r="I102" s="41">
        <f>IF(E102="","",IFERROR(INDEX(INDEX(Guide!$E$44:$R$46,0,Guide!$B$6),MATCH(E102,INDEX(Guide!$E$39:$R$41,0,Guide!$B$6),0)),""))</f>
        <v/>
      </c>
    </row>
    <row r="103" ht="17" customHeight="1">
      <c r="A103" s="29" t="n"/>
      <c r="B103" s="30" t="n"/>
      <c r="C103" s="30" t="n"/>
      <c r="D103" s="38" t="n"/>
      <c r="E103" s="16" t="n"/>
      <c r="F103" s="39">
        <f>IF(E103="","",INDEX(Guide!$B$51:$B$78,MATCH(E103,Guide!$A$51:$A$78,0)))</f>
        <v/>
      </c>
      <c r="G103" s="32">
        <f>IF(OR(E103="",D103=""),"",D103*INDEX(Guide!$C$51:$C$78,MATCH(E103,Guide!$A$51:$A$78,0)))</f>
        <v/>
      </c>
      <c r="H103" s="40">
        <f>IF(E103="","",IF(COUNTIF(INDEX(Guide!$E$25:$R$36,0,Guide!$B$6),E103)&gt;0,"✓",""))</f>
        <v/>
      </c>
      <c r="I103" s="41">
        <f>IF(E103="","",IFERROR(INDEX(INDEX(Guide!$E$44:$R$46,0,Guide!$B$6),MATCH(E103,INDEX(Guide!$E$39:$R$41,0,Guide!$B$6),0)),""))</f>
        <v/>
      </c>
    </row>
    <row r="104" ht="17" customHeight="1">
      <c r="A104" s="29" t="n"/>
      <c r="B104" s="30" t="n"/>
      <c r="C104" s="30" t="n"/>
      <c r="D104" s="38" t="n"/>
      <c r="E104" s="16" t="n"/>
      <c r="F104" s="39">
        <f>IF(E104="","",INDEX(Guide!$B$51:$B$78,MATCH(E104,Guide!$A$51:$A$78,0)))</f>
        <v/>
      </c>
      <c r="G104" s="32">
        <f>IF(OR(E104="",D104=""),"",D104*INDEX(Guide!$C$51:$C$78,MATCH(E104,Guide!$A$51:$A$78,0)))</f>
        <v/>
      </c>
      <c r="H104" s="40">
        <f>IF(E104="","",IF(COUNTIF(INDEX(Guide!$E$25:$R$36,0,Guide!$B$6),E104)&gt;0,"✓",""))</f>
        <v/>
      </c>
      <c r="I104" s="41">
        <f>IF(E104="","",IFERROR(INDEX(INDEX(Guide!$E$44:$R$46,0,Guide!$B$6),MATCH(E104,INDEX(Guide!$E$39:$R$41,0,Guide!$B$6),0)),""))</f>
        <v/>
      </c>
    </row>
    <row r="105" ht="17" customHeight="1">
      <c r="A105" s="29" t="n"/>
      <c r="B105" s="30" t="n"/>
      <c r="C105" s="30" t="n"/>
      <c r="D105" s="38" t="n"/>
      <c r="E105" s="16" t="n"/>
      <c r="F105" s="39">
        <f>IF(E105="","",INDEX(Guide!$B$51:$B$78,MATCH(E105,Guide!$A$51:$A$78,0)))</f>
        <v/>
      </c>
      <c r="G105" s="32">
        <f>IF(OR(E105="",D105=""),"",D105*INDEX(Guide!$C$51:$C$78,MATCH(E105,Guide!$A$51:$A$78,0)))</f>
        <v/>
      </c>
      <c r="H105" s="40">
        <f>IF(E105="","",IF(COUNTIF(INDEX(Guide!$E$25:$R$36,0,Guide!$B$6),E105)&gt;0,"✓",""))</f>
        <v/>
      </c>
      <c r="I105" s="41">
        <f>IF(E105="","",IFERROR(INDEX(INDEX(Guide!$E$44:$R$46,0,Guide!$B$6),MATCH(E105,INDEX(Guide!$E$39:$R$41,0,Guide!$B$6),0)),""))</f>
        <v/>
      </c>
    </row>
    <row r="106" ht="17" customHeight="1">
      <c r="A106" s="29" t="n"/>
      <c r="B106" s="30" t="n"/>
      <c r="C106" s="30" t="n"/>
      <c r="D106" s="38" t="n"/>
      <c r="E106" s="16" t="n"/>
      <c r="F106" s="39">
        <f>IF(E106="","",INDEX(Guide!$B$51:$B$78,MATCH(E106,Guide!$A$51:$A$78,0)))</f>
        <v/>
      </c>
      <c r="G106" s="32">
        <f>IF(OR(E106="",D106=""),"",D106*INDEX(Guide!$C$51:$C$78,MATCH(E106,Guide!$A$51:$A$78,0)))</f>
        <v/>
      </c>
      <c r="H106" s="40">
        <f>IF(E106="","",IF(COUNTIF(INDEX(Guide!$E$25:$R$36,0,Guide!$B$6),E106)&gt;0,"✓",""))</f>
        <v/>
      </c>
      <c r="I106" s="41">
        <f>IF(E106="","",IFERROR(INDEX(INDEX(Guide!$E$44:$R$46,0,Guide!$B$6),MATCH(E106,INDEX(Guide!$E$39:$R$41,0,Guide!$B$6),0)),""))</f>
        <v/>
      </c>
    </row>
    <row r="107" ht="17" customHeight="1">
      <c r="A107" s="29" t="n"/>
      <c r="B107" s="30" t="n"/>
      <c r="C107" s="30" t="n"/>
      <c r="D107" s="38" t="n"/>
      <c r="E107" s="16" t="n"/>
      <c r="F107" s="39">
        <f>IF(E107="","",INDEX(Guide!$B$51:$B$78,MATCH(E107,Guide!$A$51:$A$78,0)))</f>
        <v/>
      </c>
      <c r="G107" s="32">
        <f>IF(OR(E107="",D107=""),"",D107*INDEX(Guide!$C$51:$C$78,MATCH(E107,Guide!$A$51:$A$78,0)))</f>
        <v/>
      </c>
      <c r="H107" s="40">
        <f>IF(E107="","",IF(COUNTIF(INDEX(Guide!$E$25:$R$36,0,Guide!$B$6),E107)&gt;0,"✓",""))</f>
        <v/>
      </c>
      <c r="I107" s="41">
        <f>IF(E107="","",IFERROR(INDEX(INDEX(Guide!$E$44:$R$46,0,Guide!$B$6),MATCH(E107,INDEX(Guide!$E$39:$R$41,0,Guide!$B$6),0)),""))</f>
        <v/>
      </c>
    </row>
    <row r="108" ht="17" customHeight="1">
      <c r="A108" s="29" t="n"/>
      <c r="B108" s="30" t="n"/>
      <c r="C108" s="30" t="n"/>
      <c r="D108" s="38" t="n"/>
      <c r="E108" s="16" t="n"/>
      <c r="F108" s="39">
        <f>IF(E108="","",INDEX(Guide!$B$51:$B$78,MATCH(E108,Guide!$A$51:$A$78,0)))</f>
        <v/>
      </c>
      <c r="G108" s="32">
        <f>IF(OR(E108="",D108=""),"",D108*INDEX(Guide!$C$51:$C$78,MATCH(E108,Guide!$A$51:$A$78,0)))</f>
        <v/>
      </c>
      <c r="H108" s="40">
        <f>IF(E108="","",IF(COUNTIF(INDEX(Guide!$E$25:$R$36,0,Guide!$B$6),E108)&gt;0,"✓",""))</f>
        <v/>
      </c>
      <c r="I108" s="41">
        <f>IF(E108="","",IFERROR(INDEX(INDEX(Guide!$E$44:$R$46,0,Guide!$B$6),MATCH(E108,INDEX(Guide!$E$39:$R$41,0,Guide!$B$6),0)),""))</f>
        <v/>
      </c>
    </row>
    <row r="109" ht="17" customHeight="1">
      <c r="A109" s="29" t="n"/>
      <c r="B109" s="30" t="n"/>
      <c r="C109" s="30" t="n"/>
      <c r="D109" s="38" t="n"/>
      <c r="E109" s="16" t="n"/>
      <c r="F109" s="39">
        <f>IF(E109="","",INDEX(Guide!$B$51:$B$78,MATCH(E109,Guide!$A$51:$A$78,0)))</f>
        <v/>
      </c>
      <c r="G109" s="32">
        <f>IF(OR(E109="",D109=""),"",D109*INDEX(Guide!$C$51:$C$78,MATCH(E109,Guide!$A$51:$A$78,0)))</f>
        <v/>
      </c>
      <c r="H109" s="40">
        <f>IF(E109="","",IF(COUNTIF(INDEX(Guide!$E$25:$R$36,0,Guide!$B$6),E109)&gt;0,"✓",""))</f>
        <v/>
      </c>
      <c r="I109" s="41">
        <f>IF(E109="","",IFERROR(INDEX(INDEX(Guide!$E$44:$R$46,0,Guide!$B$6),MATCH(E109,INDEX(Guide!$E$39:$R$41,0,Guide!$B$6),0)),""))</f>
        <v/>
      </c>
    </row>
    <row r="110" ht="17" customHeight="1">
      <c r="A110" s="29" t="n"/>
      <c r="B110" s="30" t="n"/>
      <c r="C110" s="30" t="n"/>
      <c r="D110" s="38" t="n"/>
      <c r="E110" s="16" t="n"/>
      <c r="F110" s="39">
        <f>IF(E110="","",INDEX(Guide!$B$51:$B$78,MATCH(E110,Guide!$A$51:$A$78,0)))</f>
        <v/>
      </c>
      <c r="G110" s="32">
        <f>IF(OR(E110="",D110=""),"",D110*INDEX(Guide!$C$51:$C$78,MATCH(E110,Guide!$A$51:$A$78,0)))</f>
        <v/>
      </c>
      <c r="H110" s="40">
        <f>IF(E110="","",IF(COUNTIF(INDEX(Guide!$E$25:$R$36,0,Guide!$B$6),E110)&gt;0,"✓",""))</f>
        <v/>
      </c>
      <c r="I110" s="41">
        <f>IF(E110="","",IFERROR(INDEX(INDEX(Guide!$E$44:$R$46,0,Guide!$B$6),MATCH(E110,INDEX(Guide!$E$39:$R$41,0,Guide!$B$6),0)),""))</f>
        <v/>
      </c>
    </row>
    <row r="111" ht="17" customHeight="1">
      <c r="A111" s="29" t="n"/>
      <c r="B111" s="30" t="n"/>
      <c r="C111" s="30" t="n"/>
      <c r="D111" s="38" t="n"/>
      <c r="E111" s="16" t="n"/>
      <c r="F111" s="39">
        <f>IF(E111="","",INDEX(Guide!$B$51:$B$78,MATCH(E111,Guide!$A$51:$A$78,0)))</f>
        <v/>
      </c>
      <c r="G111" s="32">
        <f>IF(OR(E111="",D111=""),"",D111*INDEX(Guide!$C$51:$C$78,MATCH(E111,Guide!$A$51:$A$78,0)))</f>
        <v/>
      </c>
      <c r="H111" s="40">
        <f>IF(E111="","",IF(COUNTIF(INDEX(Guide!$E$25:$R$36,0,Guide!$B$6),E111)&gt;0,"✓",""))</f>
        <v/>
      </c>
      <c r="I111" s="41">
        <f>IF(E111="","",IFERROR(INDEX(INDEX(Guide!$E$44:$R$46,0,Guide!$B$6),MATCH(E111,INDEX(Guide!$E$39:$R$41,0,Guide!$B$6),0)),""))</f>
        <v/>
      </c>
    </row>
    <row r="112" ht="17" customHeight="1">
      <c r="A112" s="29" t="n"/>
      <c r="B112" s="30" t="n"/>
      <c r="C112" s="30" t="n"/>
      <c r="D112" s="38" t="n"/>
      <c r="E112" s="16" t="n"/>
      <c r="F112" s="39">
        <f>IF(E112="","",INDEX(Guide!$B$51:$B$78,MATCH(E112,Guide!$A$51:$A$78,0)))</f>
        <v/>
      </c>
      <c r="G112" s="32">
        <f>IF(OR(E112="",D112=""),"",D112*INDEX(Guide!$C$51:$C$78,MATCH(E112,Guide!$A$51:$A$78,0)))</f>
        <v/>
      </c>
      <c r="H112" s="40">
        <f>IF(E112="","",IF(COUNTIF(INDEX(Guide!$E$25:$R$36,0,Guide!$B$6),E112)&gt;0,"✓",""))</f>
        <v/>
      </c>
      <c r="I112" s="41">
        <f>IF(E112="","",IFERROR(INDEX(INDEX(Guide!$E$44:$R$46,0,Guide!$B$6),MATCH(E112,INDEX(Guide!$E$39:$R$41,0,Guide!$B$6),0)),""))</f>
        <v/>
      </c>
    </row>
    <row r="113" ht="17" customHeight="1">
      <c r="A113" s="29" t="n"/>
      <c r="B113" s="30" t="n"/>
      <c r="C113" s="30" t="n"/>
      <c r="D113" s="38" t="n"/>
      <c r="E113" s="16" t="n"/>
      <c r="F113" s="39">
        <f>IF(E113="","",INDEX(Guide!$B$51:$B$78,MATCH(E113,Guide!$A$51:$A$78,0)))</f>
        <v/>
      </c>
      <c r="G113" s="32">
        <f>IF(OR(E113="",D113=""),"",D113*INDEX(Guide!$C$51:$C$78,MATCH(E113,Guide!$A$51:$A$78,0)))</f>
        <v/>
      </c>
      <c r="H113" s="40">
        <f>IF(E113="","",IF(COUNTIF(INDEX(Guide!$E$25:$R$36,0,Guide!$B$6),E113)&gt;0,"✓",""))</f>
        <v/>
      </c>
      <c r="I113" s="41">
        <f>IF(E113="","",IFERROR(INDEX(INDEX(Guide!$E$44:$R$46,0,Guide!$B$6),MATCH(E113,INDEX(Guide!$E$39:$R$41,0,Guide!$B$6),0)),""))</f>
        <v/>
      </c>
    </row>
    <row r="114" ht="17" customHeight="1">
      <c r="A114" s="29" t="n"/>
      <c r="B114" s="30" t="n"/>
      <c r="C114" s="30" t="n"/>
      <c r="D114" s="38" t="n"/>
      <c r="E114" s="16" t="n"/>
      <c r="F114" s="39">
        <f>IF(E114="","",INDEX(Guide!$B$51:$B$78,MATCH(E114,Guide!$A$51:$A$78,0)))</f>
        <v/>
      </c>
      <c r="G114" s="32">
        <f>IF(OR(E114="",D114=""),"",D114*INDEX(Guide!$C$51:$C$78,MATCH(E114,Guide!$A$51:$A$78,0)))</f>
        <v/>
      </c>
      <c r="H114" s="40">
        <f>IF(E114="","",IF(COUNTIF(INDEX(Guide!$E$25:$R$36,0,Guide!$B$6),E114)&gt;0,"✓",""))</f>
        <v/>
      </c>
      <c r="I114" s="41">
        <f>IF(E114="","",IFERROR(INDEX(INDEX(Guide!$E$44:$R$46,0,Guide!$B$6),MATCH(E114,INDEX(Guide!$E$39:$R$41,0,Guide!$B$6),0)),""))</f>
        <v/>
      </c>
    </row>
    <row r="115" ht="17" customHeight="1">
      <c r="A115" s="29" t="n"/>
      <c r="B115" s="30" t="n"/>
      <c r="C115" s="30" t="n"/>
      <c r="D115" s="38" t="n"/>
      <c r="E115" s="16" t="n"/>
      <c r="F115" s="39">
        <f>IF(E115="","",INDEX(Guide!$B$51:$B$78,MATCH(E115,Guide!$A$51:$A$78,0)))</f>
        <v/>
      </c>
      <c r="G115" s="32">
        <f>IF(OR(E115="",D115=""),"",D115*INDEX(Guide!$C$51:$C$78,MATCH(E115,Guide!$A$51:$A$78,0)))</f>
        <v/>
      </c>
      <c r="H115" s="40">
        <f>IF(E115="","",IF(COUNTIF(INDEX(Guide!$E$25:$R$36,0,Guide!$B$6),E115)&gt;0,"✓",""))</f>
        <v/>
      </c>
      <c r="I115" s="41">
        <f>IF(E115="","",IFERROR(INDEX(INDEX(Guide!$E$44:$R$46,0,Guide!$B$6),MATCH(E115,INDEX(Guide!$E$39:$R$41,0,Guide!$B$6),0)),""))</f>
        <v/>
      </c>
    </row>
    <row r="116" ht="17" customHeight="1">
      <c r="A116" s="29" t="n"/>
      <c r="B116" s="30" t="n"/>
      <c r="C116" s="30" t="n"/>
      <c r="D116" s="38" t="n"/>
      <c r="E116" s="16" t="n"/>
      <c r="F116" s="39">
        <f>IF(E116="","",INDEX(Guide!$B$51:$B$78,MATCH(E116,Guide!$A$51:$A$78,0)))</f>
        <v/>
      </c>
      <c r="G116" s="32">
        <f>IF(OR(E116="",D116=""),"",D116*INDEX(Guide!$C$51:$C$78,MATCH(E116,Guide!$A$51:$A$78,0)))</f>
        <v/>
      </c>
      <c r="H116" s="40">
        <f>IF(E116="","",IF(COUNTIF(INDEX(Guide!$E$25:$R$36,0,Guide!$B$6),E116)&gt;0,"✓",""))</f>
        <v/>
      </c>
      <c r="I116" s="41">
        <f>IF(E116="","",IFERROR(INDEX(INDEX(Guide!$E$44:$R$46,0,Guide!$B$6),MATCH(E116,INDEX(Guide!$E$39:$R$41,0,Guide!$B$6),0)),""))</f>
        <v/>
      </c>
    </row>
    <row r="117" ht="17" customHeight="1">
      <c r="A117" s="29" t="n"/>
      <c r="B117" s="30" t="n"/>
      <c r="C117" s="30" t="n"/>
      <c r="D117" s="38" t="n"/>
      <c r="E117" s="16" t="n"/>
      <c r="F117" s="39">
        <f>IF(E117="","",INDEX(Guide!$B$51:$B$78,MATCH(E117,Guide!$A$51:$A$78,0)))</f>
        <v/>
      </c>
      <c r="G117" s="32">
        <f>IF(OR(E117="",D117=""),"",D117*INDEX(Guide!$C$51:$C$78,MATCH(E117,Guide!$A$51:$A$78,0)))</f>
        <v/>
      </c>
      <c r="H117" s="40">
        <f>IF(E117="","",IF(COUNTIF(INDEX(Guide!$E$25:$R$36,0,Guide!$B$6),E117)&gt;0,"✓",""))</f>
        <v/>
      </c>
      <c r="I117" s="41">
        <f>IF(E117="","",IFERROR(INDEX(INDEX(Guide!$E$44:$R$46,0,Guide!$B$6),MATCH(E117,INDEX(Guide!$E$39:$R$41,0,Guide!$B$6),0)),""))</f>
        <v/>
      </c>
    </row>
    <row r="118" ht="17" customHeight="1">
      <c r="A118" s="29" t="n"/>
      <c r="B118" s="30" t="n"/>
      <c r="C118" s="30" t="n"/>
      <c r="D118" s="38" t="n"/>
      <c r="E118" s="16" t="n"/>
      <c r="F118" s="39">
        <f>IF(E118="","",INDEX(Guide!$B$51:$B$78,MATCH(E118,Guide!$A$51:$A$78,0)))</f>
        <v/>
      </c>
      <c r="G118" s="32">
        <f>IF(OR(E118="",D118=""),"",D118*INDEX(Guide!$C$51:$C$78,MATCH(E118,Guide!$A$51:$A$78,0)))</f>
        <v/>
      </c>
      <c r="H118" s="40">
        <f>IF(E118="","",IF(COUNTIF(INDEX(Guide!$E$25:$R$36,0,Guide!$B$6),E118)&gt;0,"✓",""))</f>
        <v/>
      </c>
      <c r="I118" s="41">
        <f>IF(E118="","",IFERROR(INDEX(INDEX(Guide!$E$44:$R$46,0,Guide!$B$6),MATCH(E118,INDEX(Guide!$E$39:$R$41,0,Guide!$B$6),0)),""))</f>
        <v/>
      </c>
    </row>
    <row r="119" ht="17" customHeight="1">
      <c r="A119" s="29" t="n"/>
      <c r="B119" s="30" t="n"/>
      <c r="C119" s="30" t="n"/>
      <c r="D119" s="38" t="n"/>
      <c r="E119" s="16" t="n"/>
      <c r="F119" s="39">
        <f>IF(E119="","",INDEX(Guide!$B$51:$B$78,MATCH(E119,Guide!$A$51:$A$78,0)))</f>
        <v/>
      </c>
      <c r="G119" s="32">
        <f>IF(OR(E119="",D119=""),"",D119*INDEX(Guide!$C$51:$C$78,MATCH(E119,Guide!$A$51:$A$78,0)))</f>
        <v/>
      </c>
      <c r="H119" s="40">
        <f>IF(E119="","",IF(COUNTIF(INDEX(Guide!$E$25:$R$36,0,Guide!$B$6),E119)&gt;0,"✓",""))</f>
        <v/>
      </c>
      <c r="I119" s="41">
        <f>IF(E119="","",IFERROR(INDEX(INDEX(Guide!$E$44:$R$46,0,Guide!$B$6),MATCH(E119,INDEX(Guide!$E$39:$R$41,0,Guide!$B$6),0)),""))</f>
        <v/>
      </c>
    </row>
    <row r="120" ht="17" customHeight="1">
      <c r="A120" s="29" t="n"/>
      <c r="B120" s="30" t="n"/>
      <c r="C120" s="30" t="n"/>
      <c r="D120" s="38" t="n"/>
      <c r="E120" s="16" t="n"/>
      <c r="F120" s="39">
        <f>IF(E120="","",INDEX(Guide!$B$51:$B$78,MATCH(E120,Guide!$A$51:$A$78,0)))</f>
        <v/>
      </c>
      <c r="G120" s="32">
        <f>IF(OR(E120="",D120=""),"",D120*INDEX(Guide!$C$51:$C$78,MATCH(E120,Guide!$A$51:$A$78,0)))</f>
        <v/>
      </c>
      <c r="H120" s="40">
        <f>IF(E120="","",IF(COUNTIF(INDEX(Guide!$E$25:$R$36,0,Guide!$B$6),E120)&gt;0,"✓",""))</f>
        <v/>
      </c>
      <c r="I120" s="41">
        <f>IF(E120="","",IFERROR(INDEX(INDEX(Guide!$E$44:$R$46,0,Guide!$B$6),MATCH(E120,INDEX(Guide!$E$39:$R$41,0,Guide!$B$6),0)),""))</f>
        <v/>
      </c>
    </row>
    <row r="121" ht="17" customHeight="1">
      <c r="A121" s="29" t="n"/>
      <c r="B121" s="30" t="n"/>
      <c r="C121" s="30" t="n"/>
      <c r="D121" s="38" t="n"/>
      <c r="E121" s="16" t="n"/>
      <c r="F121" s="39">
        <f>IF(E121="","",INDEX(Guide!$B$51:$B$78,MATCH(E121,Guide!$A$51:$A$78,0)))</f>
        <v/>
      </c>
      <c r="G121" s="32">
        <f>IF(OR(E121="",D121=""),"",D121*INDEX(Guide!$C$51:$C$78,MATCH(E121,Guide!$A$51:$A$78,0)))</f>
        <v/>
      </c>
      <c r="H121" s="40">
        <f>IF(E121="","",IF(COUNTIF(INDEX(Guide!$E$25:$R$36,0,Guide!$B$6),E121)&gt;0,"✓",""))</f>
        <v/>
      </c>
      <c r="I121" s="41">
        <f>IF(E121="","",IFERROR(INDEX(INDEX(Guide!$E$44:$R$46,0,Guide!$B$6),MATCH(E121,INDEX(Guide!$E$39:$R$41,0,Guide!$B$6),0)),""))</f>
        <v/>
      </c>
    </row>
    <row r="122" ht="17" customHeight="1">
      <c r="A122" s="29" t="n"/>
      <c r="B122" s="30" t="n"/>
      <c r="C122" s="30" t="n"/>
      <c r="D122" s="38" t="n"/>
      <c r="E122" s="16" t="n"/>
      <c r="F122" s="39">
        <f>IF(E122="","",INDEX(Guide!$B$51:$B$78,MATCH(E122,Guide!$A$51:$A$78,0)))</f>
        <v/>
      </c>
      <c r="G122" s="32">
        <f>IF(OR(E122="",D122=""),"",D122*INDEX(Guide!$C$51:$C$78,MATCH(E122,Guide!$A$51:$A$78,0)))</f>
        <v/>
      </c>
      <c r="H122" s="40">
        <f>IF(E122="","",IF(COUNTIF(INDEX(Guide!$E$25:$R$36,0,Guide!$B$6),E122)&gt;0,"✓",""))</f>
        <v/>
      </c>
      <c r="I122" s="41">
        <f>IF(E122="","",IFERROR(INDEX(INDEX(Guide!$E$44:$R$46,0,Guide!$B$6),MATCH(E122,INDEX(Guide!$E$39:$R$41,0,Guide!$B$6),0)),""))</f>
        <v/>
      </c>
    </row>
    <row r="123" ht="17" customHeight="1">
      <c r="A123" s="29" t="n"/>
      <c r="B123" s="30" t="n"/>
      <c r="C123" s="30" t="n"/>
      <c r="D123" s="38" t="n"/>
      <c r="E123" s="16" t="n"/>
      <c r="F123" s="39">
        <f>IF(E123="","",INDEX(Guide!$B$51:$B$78,MATCH(E123,Guide!$A$51:$A$78,0)))</f>
        <v/>
      </c>
      <c r="G123" s="32">
        <f>IF(OR(E123="",D123=""),"",D123*INDEX(Guide!$C$51:$C$78,MATCH(E123,Guide!$A$51:$A$78,0)))</f>
        <v/>
      </c>
      <c r="H123" s="40">
        <f>IF(E123="","",IF(COUNTIF(INDEX(Guide!$E$25:$R$36,0,Guide!$B$6),E123)&gt;0,"✓",""))</f>
        <v/>
      </c>
      <c r="I123" s="41">
        <f>IF(E123="","",IFERROR(INDEX(INDEX(Guide!$E$44:$R$46,0,Guide!$B$6),MATCH(E123,INDEX(Guide!$E$39:$R$41,0,Guide!$B$6),0)),""))</f>
        <v/>
      </c>
    </row>
    <row r="124" ht="17" customHeight="1">
      <c r="A124" s="29" t="n"/>
      <c r="B124" s="30" t="n"/>
      <c r="C124" s="30" t="n"/>
      <c r="D124" s="38" t="n"/>
      <c r="E124" s="16" t="n"/>
      <c r="F124" s="39">
        <f>IF(E124="","",INDEX(Guide!$B$51:$B$78,MATCH(E124,Guide!$A$51:$A$78,0)))</f>
        <v/>
      </c>
      <c r="G124" s="32">
        <f>IF(OR(E124="",D124=""),"",D124*INDEX(Guide!$C$51:$C$78,MATCH(E124,Guide!$A$51:$A$78,0)))</f>
        <v/>
      </c>
      <c r="H124" s="40">
        <f>IF(E124="","",IF(COUNTIF(INDEX(Guide!$E$25:$R$36,0,Guide!$B$6),E124)&gt;0,"✓",""))</f>
        <v/>
      </c>
      <c r="I124" s="41">
        <f>IF(E124="","",IFERROR(INDEX(INDEX(Guide!$E$44:$R$46,0,Guide!$B$6),MATCH(E124,INDEX(Guide!$E$39:$R$41,0,Guide!$B$6),0)),""))</f>
        <v/>
      </c>
    </row>
    <row r="125" ht="17" customHeight="1">
      <c r="A125" s="29" t="n"/>
      <c r="B125" s="30" t="n"/>
      <c r="C125" s="30" t="n"/>
      <c r="D125" s="38" t="n"/>
      <c r="E125" s="16" t="n"/>
      <c r="F125" s="39">
        <f>IF(E125="","",INDEX(Guide!$B$51:$B$78,MATCH(E125,Guide!$A$51:$A$78,0)))</f>
        <v/>
      </c>
      <c r="G125" s="32">
        <f>IF(OR(E125="",D125=""),"",D125*INDEX(Guide!$C$51:$C$78,MATCH(E125,Guide!$A$51:$A$78,0)))</f>
        <v/>
      </c>
      <c r="H125" s="40">
        <f>IF(E125="","",IF(COUNTIF(INDEX(Guide!$E$25:$R$36,0,Guide!$B$6),E125)&gt;0,"✓",""))</f>
        <v/>
      </c>
      <c r="I125" s="41">
        <f>IF(E125="","",IFERROR(INDEX(INDEX(Guide!$E$44:$R$46,0,Guide!$B$6),MATCH(E125,INDEX(Guide!$E$39:$R$41,0,Guide!$B$6),0)),""))</f>
        <v/>
      </c>
    </row>
    <row r="126" ht="17" customHeight="1">
      <c r="A126" s="29" t="n"/>
      <c r="B126" s="30" t="n"/>
      <c r="C126" s="30" t="n"/>
      <c r="D126" s="38" t="n"/>
      <c r="E126" s="16" t="n"/>
      <c r="F126" s="39">
        <f>IF(E126="","",INDEX(Guide!$B$51:$B$78,MATCH(E126,Guide!$A$51:$A$78,0)))</f>
        <v/>
      </c>
      <c r="G126" s="32">
        <f>IF(OR(E126="",D126=""),"",D126*INDEX(Guide!$C$51:$C$78,MATCH(E126,Guide!$A$51:$A$78,0)))</f>
        <v/>
      </c>
      <c r="H126" s="40">
        <f>IF(E126="","",IF(COUNTIF(INDEX(Guide!$E$25:$R$36,0,Guide!$B$6),E126)&gt;0,"✓",""))</f>
        <v/>
      </c>
      <c r="I126" s="41">
        <f>IF(E126="","",IFERROR(INDEX(INDEX(Guide!$E$44:$R$46,0,Guide!$B$6),MATCH(E126,INDEX(Guide!$E$39:$R$41,0,Guide!$B$6),0)),""))</f>
        <v/>
      </c>
    </row>
    <row r="127" ht="17" customHeight="1">
      <c r="A127" s="29" t="n"/>
      <c r="B127" s="30" t="n"/>
      <c r="C127" s="30" t="n"/>
      <c r="D127" s="38" t="n"/>
      <c r="E127" s="16" t="n"/>
      <c r="F127" s="39">
        <f>IF(E127="","",INDEX(Guide!$B$51:$B$78,MATCH(E127,Guide!$A$51:$A$78,0)))</f>
        <v/>
      </c>
      <c r="G127" s="32">
        <f>IF(OR(E127="",D127=""),"",D127*INDEX(Guide!$C$51:$C$78,MATCH(E127,Guide!$A$51:$A$78,0)))</f>
        <v/>
      </c>
      <c r="H127" s="40">
        <f>IF(E127="","",IF(COUNTIF(INDEX(Guide!$E$25:$R$36,0,Guide!$B$6),E127)&gt;0,"✓",""))</f>
        <v/>
      </c>
      <c r="I127" s="41">
        <f>IF(E127="","",IFERROR(INDEX(INDEX(Guide!$E$44:$R$46,0,Guide!$B$6),MATCH(E127,INDEX(Guide!$E$39:$R$41,0,Guide!$B$6),0)),""))</f>
        <v/>
      </c>
    </row>
    <row r="128" ht="17" customHeight="1">
      <c r="A128" s="29" t="n"/>
      <c r="B128" s="30" t="n"/>
      <c r="C128" s="30" t="n"/>
      <c r="D128" s="38" t="n"/>
      <c r="E128" s="16" t="n"/>
      <c r="F128" s="39">
        <f>IF(E128="","",INDEX(Guide!$B$51:$B$78,MATCH(E128,Guide!$A$51:$A$78,0)))</f>
        <v/>
      </c>
      <c r="G128" s="32">
        <f>IF(OR(E128="",D128=""),"",D128*INDEX(Guide!$C$51:$C$78,MATCH(E128,Guide!$A$51:$A$78,0)))</f>
        <v/>
      </c>
      <c r="H128" s="40">
        <f>IF(E128="","",IF(COUNTIF(INDEX(Guide!$E$25:$R$36,0,Guide!$B$6),E128)&gt;0,"✓",""))</f>
        <v/>
      </c>
      <c r="I128" s="41">
        <f>IF(E128="","",IFERROR(INDEX(INDEX(Guide!$E$44:$R$46,0,Guide!$B$6),MATCH(E128,INDEX(Guide!$E$39:$R$41,0,Guide!$B$6),0)),""))</f>
        <v/>
      </c>
    </row>
    <row r="129" ht="17" customHeight="1">
      <c r="A129" s="29" t="n"/>
      <c r="B129" s="30" t="n"/>
      <c r="C129" s="30" t="n"/>
      <c r="D129" s="38" t="n"/>
      <c r="E129" s="16" t="n"/>
      <c r="F129" s="39">
        <f>IF(E129="","",INDEX(Guide!$B$51:$B$78,MATCH(E129,Guide!$A$51:$A$78,0)))</f>
        <v/>
      </c>
      <c r="G129" s="32">
        <f>IF(OR(E129="",D129=""),"",D129*INDEX(Guide!$C$51:$C$78,MATCH(E129,Guide!$A$51:$A$78,0)))</f>
        <v/>
      </c>
      <c r="H129" s="40">
        <f>IF(E129="","",IF(COUNTIF(INDEX(Guide!$E$25:$R$36,0,Guide!$B$6),E129)&gt;0,"✓",""))</f>
        <v/>
      </c>
      <c r="I129" s="41">
        <f>IF(E129="","",IFERROR(INDEX(INDEX(Guide!$E$44:$R$46,0,Guide!$B$6),MATCH(E129,INDEX(Guide!$E$39:$R$41,0,Guide!$B$6),0)),""))</f>
        <v/>
      </c>
    </row>
    <row r="130" ht="17" customHeight="1">
      <c r="A130" s="29" t="n"/>
      <c r="B130" s="30" t="n"/>
      <c r="C130" s="30" t="n"/>
      <c r="D130" s="38" t="n"/>
      <c r="E130" s="16" t="n"/>
      <c r="F130" s="39">
        <f>IF(E130="","",INDEX(Guide!$B$51:$B$78,MATCH(E130,Guide!$A$51:$A$78,0)))</f>
        <v/>
      </c>
      <c r="G130" s="32">
        <f>IF(OR(E130="",D130=""),"",D130*INDEX(Guide!$C$51:$C$78,MATCH(E130,Guide!$A$51:$A$78,0)))</f>
        <v/>
      </c>
      <c r="H130" s="40">
        <f>IF(E130="","",IF(COUNTIF(INDEX(Guide!$E$25:$R$36,0,Guide!$B$6),E130)&gt;0,"✓",""))</f>
        <v/>
      </c>
      <c r="I130" s="41">
        <f>IF(E130="","",IFERROR(INDEX(INDEX(Guide!$E$44:$R$46,0,Guide!$B$6),MATCH(E130,INDEX(Guide!$E$39:$R$41,0,Guide!$B$6),0)),""))</f>
        <v/>
      </c>
    </row>
    <row r="131" ht="17" customHeight="1">
      <c r="A131" s="29" t="n"/>
      <c r="B131" s="30" t="n"/>
      <c r="C131" s="30" t="n"/>
      <c r="D131" s="38" t="n"/>
      <c r="E131" s="16" t="n"/>
      <c r="F131" s="39">
        <f>IF(E131="","",INDEX(Guide!$B$51:$B$78,MATCH(E131,Guide!$A$51:$A$78,0)))</f>
        <v/>
      </c>
      <c r="G131" s="32">
        <f>IF(OR(E131="",D131=""),"",D131*INDEX(Guide!$C$51:$C$78,MATCH(E131,Guide!$A$51:$A$78,0)))</f>
        <v/>
      </c>
      <c r="H131" s="40">
        <f>IF(E131="","",IF(COUNTIF(INDEX(Guide!$E$25:$R$36,0,Guide!$B$6),E131)&gt;0,"✓",""))</f>
        <v/>
      </c>
      <c r="I131" s="41">
        <f>IF(E131="","",IFERROR(INDEX(INDEX(Guide!$E$44:$R$46,0,Guide!$B$6),MATCH(E131,INDEX(Guide!$E$39:$R$41,0,Guide!$B$6),0)),""))</f>
        <v/>
      </c>
    </row>
    <row r="132" ht="17" customHeight="1">
      <c r="A132" s="29" t="n"/>
      <c r="B132" s="30" t="n"/>
      <c r="C132" s="30" t="n"/>
      <c r="D132" s="38" t="n"/>
      <c r="E132" s="16" t="n"/>
      <c r="F132" s="39">
        <f>IF(E132="","",INDEX(Guide!$B$51:$B$78,MATCH(E132,Guide!$A$51:$A$78,0)))</f>
        <v/>
      </c>
      <c r="G132" s="32">
        <f>IF(OR(E132="",D132=""),"",D132*INDEX(Guide!$C$51:$C$78,MATCH(E132,Guide!$A$51:$A$78,0)))</f>
        <v/>
      </c>
      <c r="H132" s="40">
        <f>IF(E132="","",IF(COUNTIF(INDEX(Guide!$E$25:$R$36,0,Guide!$B$6),E132)&gt;0,"✓",""))</f>
        <v/>
      </c>
      <c r="I132" s="41">
        <f>IF(E132="","",IFERROR(INDEX(INDEX(Guide!$E$44:$R$46,0,Guide!$B$6),MATCH(E132,INDEX(Guide!$E$39:$R$41,0,Guide!$B$6),0)),""))</f>
        <v/>
      </c>
    </row>
    <row r="133" ht="17" customHeight="1">
      <c r="A133" s="29" t="n"/>
      <c r="B133" s="30" t="n"/>
      <c r="C133" s="30" t="n"/>
      <c r="D133" s="38" t="n"/>
      <c r="E133" s="16" t="n"/>
      <c r="F133" s="39">
        <f>IF(E133="","",INDEX(Guide!$B$51:$B$78,MATCH(E133,Guide!$A$51:$A$78,0)))</f>
        <v/>
      </c>
      <c r="G133" s="32">
        <f>IF(OR(E133="",D133=""),"",D133*INDEX(Guide!$C$51:$C$78,MATCH(E133,Guide!$A$51:$A$78,0)))</f>
        <v/>
      </c>
      <c r="H133" s="40">
        <f>IF(E133="","",IF(COUNTIF(INDEX(Guide!$E$25:$R$36,0,Guide!$B$6),E133)&gt;0,"✓",""))</f>
        <v/>
      </c>
      <c r="I133" s="41">
        <f>IF(E133="","",IFERROR(INDEX(INDEX(Guide!$E$44:$R$46,0,Guide!$B$6),MATCH(E133,INDEX(Guide!$E$39:$R$41,0,Guide!$B$6),0)),""))</f>
        <v/>
      </c>
    </row>
    <row r="134" ht="17" customHeight="1">
      <c r="A134" s="29" t="n"/>
      <c r="B134" s="30" t="n"/>
      <c r="C134" s="30" t="n"/>
      <c r="D134" s="38" t="n"/>
      <c r="E134" s="16" t="n"/>
      <c r="F134" s="39">
        <f>IF(E134="","",INDEX(Guide!$B$51:$B$78,MATCH(E134,Guide!$A$51:$A$78,0)))</f>
        <v/>
      </c>
      <c r="G134" s="32">
        <f>IF(OR(E134="",D134=""),"",D134*INDEX(Guide!$C$51:$C$78,MATCH(E134,Guide!$A$51:$A$78,0)))</f>
        <v/>
      </c>
      <c r="H134" s="40">
        <f>IF(E134="","",IF(COUNTIF(INDEX(Guide!$E$25:$R$36,0,Guide!$B$6),E134)&gt;0,"✓",""))</f>
        <v/>
      </c>
      <c r="I134" s="41">
        <f>IF(E134="","",IFERROR(INDEX(INDEX(Guide!$E$44:$R$46,0,Guide!$B$6),MATCH(E134,INDEX(Guide!$E$39:$R$41,0,Guide!$B$6),0)),""))</f>
        <v/>
      </c>
    </row>
    <row r="135" ht="17" customHeight="1">
      <c r="A135" s="29" t="n"/>
      <c r="B135" s="30" t="n"/>
      <c r="C135" s="30" t="n"/>
      <c r="D135" s="38" t="n"/>
      <c r="E135" s="16" t="n"/>
      <c r="F135" s="39">
        <f>IF(E135="","",INDEX(Guide!$B$51:$B$78,MATCH(E135,Guide!$A$51:$A$78,0)))</f>
        <v/>
      </c>
      <c r="G135" s="32">
        <f>IF(OR(E135="",D135=""),"",D135*INDEX(Guide!$C$51:$C$78,MATCH(E135,Guide!$A$51:$A$78,0)))</f>
        <v/>
      </c>
      <c r="H135" s="40">
        <f>IF(E135="","",IF(COUNTIF(INDEX(Guide!$E$25:$R$36,0,Guide!$B$6),E135)&gt;0,"✓",""))</f>
        <v/>
      </c>
      <c r="I135" s="41">
        <f>IF(E135="","",IFERROR(INDEX(INDEX(Guide!$E$44:$R$46,0,Guide!$B$6),MATCH(E135,INDEX(Guide!$E$39:$R$41,0,Guide!$B$6),0)),""))</f>
        <v/>
      </c>
    </row>
    <row r="136" ht="17" customHeight="1">
      <c r="A136" s="29" t="n"/>
      <c r="B136" s="30" t="n"/>
      <c r="C136" s="30" t="n"/>
      <c r="D136" s="38" t="n"/>
      <c r="E136" s="16" t="n"/>
      <c r="F136" s="39">
        <f>IF(E136="","",INDEX(Guide!$B$51:$B$78,MATCH(E136,Guide!$A$51:$A$78,0)))</f>
        <v/>
      </c>
      <c r="G136" s="32">
        <f>IF(OR(E136="",D136=""),"",D136*INDEX(Guide!$C$51:$C$78,MATCH(E136,Guide!$A$51:$A$78,0)))</f>
        <v/>
      </c>
      <c r="H136" s="40">
        <f>IF(E136="","",IF(COUNTIF(INDEX(Guide!$E$25:$R$36,0,Guide!$B$6),E136)&gt;0,"✓",""))</f>
        <v/>
      </c>
      <c r="I136" s="41">
        <f>IF(E136="","",IFERROR(INDEX(INDEX(Guide!$E$44:$R$46,0,Guide!$B$6),MATCH(E136,INDEX(Guide!$E$39:$R$41,0,Guide!$B$6),0)),""))</f>
        <v/>
      </c>
    </row>
    <row r="137" ht="17" customHeight="1">
      <c r="A137" s="29" t="n"/>
      <c r="B137" s="30" t="n"/>
      <c r="C137" s="30" t="n"/>
      <c r="D137" s="38" t="n"/>
      <c r="E137" s="16" t="n"/>
      <c r="F137" s="39">
        <f>IF(E137="","",INDEX(Guide!$B$51:$B$78,MATCH(E137,Guide!$A$51:$A$78,0)))</f>
        <v/>
      </c>
      <c r="G137" s="32">
        <f>IF(OR(E137="",D137=""),"",D137*INDEX(Guide!$C$51:$C$78,MATCH(E137,Guide!$A$51:$A$78,0)))</f>
        <v/>
      </c>
      <c r="H137" s="40">
        <f>IF(E137="","",IF(COUNTIF(INDEX(Guide!$E$25:$R$36,0,Guide!$B$6),E137)&gt;0,"✓",""))</f>
        <v/>
      </c>
      <c r="I137" s="41">
        <f>IF(E137="","",IFERROR(INDEX(INDEX(Guide!$E$44:$R$46,0,Guide!$B$6),MATCH(E137,INDEX(Guide!$E$39:$R$41,0,Guide!$B$6),0)),""))</f>
        <v/>
      </c>
    </row>
    <row r="138" ht="17" customHeight="1">
      <c r="A138" s="29" t="n"/>
      <c r="B138" s="30" t="n"/>
      <c r="C138" s="30" t="n"/>
      <c r="D138" s="38" t="n"/>
      <c r="E138" s="16" t="n"/>
      <c r="F138" s="39">
        <f>IF(E138="","",INDEX(Guide!$B$51:$B$78,MATCH(E138,Guide!$A$51:$A$78,0)))</f>
        <v/>
      </c>
      <c r="G138" s="32">
        <f>IF(OR(E138="",D138=""),"",D138*INDEX(Guide!$C$51:$C$78,MATCH(E138,Guide!$A$51:$A$78,0)))</f>
        <v/>
      </c>
      <c r="H138" s="40">
        <f>IF(E138="","",IF(COUNTIF(INDEX(Guide!$E$25:$R$36,0,Guide!$B$6),E138)&gt;0,"✓",""))</f>
        <v/>
      </c>
      <c r="I138" s="41">
        <f>IF(E138="","",IFERROR(INDEX(INDEX(Guide!$E$44:$R$46,0,Guide!$B$6),MATCH(E138,INDEX(Guide!$E$39:$R$41,0,Guide!$B$6),0)),""))</f>
        <v/>
      </c>
    </row>
    <row r="139" ht="17" customHeight="1">
      <c r="A139" s="29" t="n"/>
      <c r="B139" s="30" t="n"/>
      <c r="C139" s="30" t="n"/>
      <c r="D139" s="38" t="n"/>
      <c r="E139" s="16" t="n"/>
      <c r="F139" s="39">
        <f>IF(E139="","",INDEX(Guide!$B$51:$B$78,MATCH(E139,Guide!$A$51:$A$78,0)))</f>
        <v/>
      </c>
      <c r="G139" s="32">
        <f>IF(OR(E139="",D139=""),"",D139*INDEX(Guide!$C$51:$C$78,MATCH(E139,Guide!$A$51:$A$78,0)))</f>
        <v/>
      </c>
      <c r="H139" s="40">
        <f>IF(E139="","",IF(COUNTIF(INDEX(Guide!$E$25:$R$36,0,Guide!$B$6),E139)&gt;0,"✓",""))</f>
        <v/>
      </c>
      <c r="I139" s="41">
        <f>IF(E139="","",IFERROR(INDEX(INDEX(Guide!$E$44:$R$46,0,Guide!$B$6),MATCH(E139,INDEX(Guide!$E$39:$R$41,0,Guide!$B$6),0)),""))</f>
        <v/>
      </c>
    </row>
    <row r="140" ht="17" customHeight="1">
      <c r="A140" s="29" t="n"/>
      <c r="B140" s="30" t="n"/>
      <c r="C140" s="30" t="n"/>
      <c r="D140" s="38" t="n"/>
      <c r="E140" s="16" t="n"/>
      <c r="F140" s="39">
        <f>IF(E140="","",INDEX(Guide!$B$51:$B$78,MATCH(E140,Guide!$A$51:$A$78,0)))</f>
        <v/>
      </c>
      <c r="G140" s="32">
        <f>IF(OR(E140="",D140=""),"",D140*INDEX(Guide!$C$51:$C$78,MATCH(E140,Guide!$A$51:$A$78,0)))</f>
        <v/>
      </c>
      <c r="H140" s="40">
        <f>IF(E140="","",IF(COUNTIF(INDEX(Guide!$E$25:$R$36,0,Guide!$B$6),E140)&gt;0,"✓",""))</f>
        <v/>
      </c>
      <c r="I140" s="41">
        <f>IF(E140="","",IFERROR(INDEX(INDEX(Guide!$E$44:$R$46,0,Guide!$B$6),MATCH(E140,INDEX(Guide!$E$39:$R$41,0,Guide!$B$6),0)),""))</f>
        <v/>
      </c>
    </row>
    <row r="141" ht="17" customHeight="1">
      <c r="A141" s="29" t="n"/>
      <c r="B141" s="30" t="n"/>
      <c r="C141" s="30" t="n"/>
      <c r="D141" s="38" t="n"/>
      <c r="E141" s="16" t="n"/>
      <c r="F141" s="39">
        <f>IF(E141="","",INDEX(Guide!$B$51:$B$78,MATCH(E141,Guide!$A$51:$A$78,0)))</f>
        <v/>
      </c>
      <c r="G141" s="32">
        <f>IF(OR(E141="",D141=""),"",D141*INDEX(Guide!$C$51:$C$78,MATCH(E141,Guide!$A$51:$A$78,0)))</f>
        <v/>
      </c>
      <c r="H141" s="40">
        <f>IF(E141="","",IF(COUNTIF(INDEX(Guide!$E$25:$R$36,0,Guide!$B$6),E141)&gt;0,"✓",""))</f>
        <v/>
      </c>
      <c r="I141" s="41">
        <f>IF(E141="","",IFERROR(INDEX(INDEX(Guide!$E$44:$R$46,0,Guide!$B$6),MATCH(E141,INDEX(Guide!$E$39:$R$41,0,Guide!$B$6),0)),""))</f>
        <v/>
      </c>
    </row>
    <row r="142" ht="17" customHeight="1">
      <c r="A142" s="29" t="n"/>
      <c r="B142" s="30" t="n"/>
      <c r="C142" s="30" t="n"/>
      <c r="D142" s="38" t="n"/>
      <c r="E142" s="16" t="n"/>
      <c r="F142" s="39">
        <f>IF(E142="","",INDEX(Guide!$B$51:$B$78,MATCH(E142,Guide!$A$51:$A$78,0)))</f>
        <v/>
      </c>
      <c r="G142" s="32">
        <f>IF(OR(E142="",D142=""),"",D142*INDEX(Guide!$C$51:$C$78,MATCH(E142,Guide!$A$51:$A$78,0)))</f>
        <v/>
      </c>
      <c r="H142" s="40">
        <f>IF(E142="","",IF(COUNTIF(INDEX(Guide!$E$25:$R$36,0,Guide!$B$6),E142)&gt;0,"✓",""))</f>
        <v/>
      </c>
      <c r="I142" s="41">
        <f>IF(E142="","",IFERROR(INDEX(INDEX(Guide!$E$44:$R$46,0,Guide!$B$6),MATCH(E142,INDEX(Guide!$E$39:$R$41,0,Guide!$B$6),0)),""))</f>
        <v/>
      </c>
    </row>
    <row r="143" ht="17" customHeight="1">
      <c r="A143" s="29" t="n"/>
      <c r="B143" s="30" t="n"/>
      <c r="C143" s="30" t="n"/>
      <c r="D143" s="38" t="n"/>
      <c r="E143" s="16" t="n"/>
      <c r="F143" s="39">
        <f>IF(E143="","",INDEX(Guide!$B$51:$B$78,MATCH(E143,Guide!$A$51:$A$78,0)))</f>
        <v/>
      </c>
      <c r="G143" s="32">
        <f>IF(OR(E143="",D143=""),"",D143*INDEX(Guide!$C$51:$C$78,MATCH(E143,Guide!$A$51:$A$78,0)))</f>
        <v/>
      </c>
      <c r="H143" s="40">
        <f>IF(E143="","",IF(COUNTIF(INDEX(Guide!$E$25:$R$36,0,Guide!$B$6),E143)&gt;0,"✓",""))</f>
        <v/>
      </c>
      <c r="I143" s="41">
        <f>IF(E143="","",IFERROR(INDEX(INDEX(Guide!$E$44:$R$46,0,Guide!$B$6),MATCH(E143,INDEX(Guide!$E$39:$R$41,0,Guide!$B$6),0)),""))</f>
        <v/>
      </c>
    </row>
    <row r="144" ht="17" customHeight="1">
      <c r="A144" s="29" t="n"/>
      <c r="B144" s="30" t="n"/>
      <c r="C144" s="30" t="n"/>
      <c r="D144" s="38" t="n"/>
      <c r="E144" s="16" t="n"/>
      <c r="F144" s="39">
        <f>IF(E144="","",INDEX(Guide!$B$51:$B$78,MATCH(E144,Guide!$A$51:$A$78,0)))</f>
        <v/>
      </c>
      <c r="G144" s="32">
        <f>IF(OR(E144="",D144=""),"",D144*INDEX(Guide!$C$51:$C$78,MATCH(E144,Guide!$A$51:$A$78,0)))</f>
        <v/>
      </c>
      <c r="H144" s="40">
        <f>IF(E144="","",IF(COUNTIF(INDEX(Guide!$E$25:$R$36,0,Guide!$B$6),E144)&gt;0,"✓",""))</f>
        <v/>
      </c>
      <c r="I144" s="41">
        <f>IF(E144="","",IFERROR(INDEX(INDEX(Guide!$E$44:$R$46,0,Guide!$B$6),MATCH(E144,INDEX(Guide!$E$39:$R$41,0,Guide!$B$6),0)),""))</f>
        <v/>
      </c>
    </row>
    <row r="145" ht="17" customHeight="1">
      <c r="A145" s="29" t="n"/>
      <c r="B145" s="30" t="n"/>
      <c r="C145" s="30" t="n"/>
      <c r="D145" s="38" t="n"/>
      <c r="E145" s="16" t="n"/>
      <c r="F145" s="39">
        <f>IF(E145="","",INDEX(Guide!$B$51:$B$78,MATCH(E145,Guide!$A$51:$A$78,0)))</f>
        <v/>
      </c>
      <c r="G145" s="32">
        <f>IF(OR(E145="",D145=""),"",D145*INDEX(Guide!$C$51:$C$78,MATCH(E145,Guide!$A$51:$A$78,0)))</f>
        <v/>
      </c>
      <c r="H145" s="40">
        <f>IF(E145="","",IF(COUNTIF(INDEX(Guide!$E$25:$R$36,0,Guide!$B$6),E145)&gt;0,"✓",""))</f>
        <v/>
      </c>
      <c r="I145" s="41">
        <f>IF(E145="","",IFERROR(INDEX(INDEX(Guide!$E$44:$R$46,0,Guide!$B$6),MATCH(E145,INDEX(Guide!$E$39:$R$41,0,Guide!$B$6),0)),""))</f>
        <v/>
      </c>
    </row>
    <row r="146" ht="17" customHeight="1">
      <c r="A146" s="29" t="n"/>
      <c r="B146" s="30" t="n"/>
      <c r="C146" s="30" t="n"/>
      <c r="D146" s="38" t="n"/>
      <c r="E146" s="16" t="n"/>
      <c r="F146" s="39">
        <f>IF(E146="","",INDEX(Guide!$B$51:$B$78,MATCH(E146,Guide!$A$51:$A$78,0)))</f>
        <v/>
      </c>
      <c r="G146" s="32">
        <f>IF(OR(E146="",D146=""),"",D146*INDEX(Guide!$C$51:$C$78,MATCH(E146,Guide!$A$51:$A$78,0)))</f>
        <v/>
      </c>
      <c r="H146" s="40">
        <f>IF(E146="","",IF(COUNTIF(INDEX(Guide!$E$25:$R$36,0,Guide!$B$6),E146)&gt;0,"✓",""))</f>
        <v/>
      </c>
      <c r="I146" s="41">
        <f>IF(E146="","",IFERROR(INDEX(INDEX(Guide!$E$44:$R$46,0,Guide!$B$6),MATCH(E146,INDEX(Guide!$E$39:$R$41,0,Guide!$B$6),0)),""))</f>
        <v/>
      </c>
    </row>
    <row r="147" ht="17" customHeight="1">
      <c r="A147" s="29" t="n"/>
      <c r="B147" s="30" t="n"/>
      <c r="C147" s="30" t="n"/>
      <c r="D147" s="38" t="n"/>
      <c r="E147" s="16" t="n"/>
      <c r="F147" s="39">
        <f>IF(E147="","",INDEX(Guide!$B$51:$B$78,MATCH(E147,Guide!$A$51:$A$78,0)))</f>
        <v/>
      </c>
      <c r="G147" s="32">
        <f>IF(OR(E147="",D147=""),"",D147*INDEX(Guide!$C$51:$C$78,MATCH(E147,Guide!$A$51:$A$78,0)))</f>
        <v/>
      </c>
      <c r="H147" s="40">
        <f>IF(E147="","",IF(COUNTIF(INDEX(Guide!$E$25:$R$36,0,Guide!$B$6),E147)&gt;0,"✓",""))</f>
        <v/>
      </c>
      <c r="I147" s="41">
        <f>IF(E147="","",IFERROR(INDEX(INDEX(Guide!$E$44:$R$46,0,Guide!$B$6),MATCH(E147,INDEX(Guide!$E$39:$R$41,0,Guide!$B$6),0)),""))</f>
        <v/>
      </c>
    </row>
    <row r="148" ht="17" customHeight="1">
      <c r="A148" s="29" t="n"/>
      <c r="B148" s="30" t="n"/>
      <c r="C148" s="30" t="n"/>
      <c r="D148" s="38" t="n"/>
      <c r="E148" s="16" t="n"/>
      <c r="F148" s="39">
        <f>IF(E148="","",INDEX(Guide!$B$51:$B$78,MATCH(E148,Guide!$A$51:$A$78,0)))</f>
        <v/>
      </c>
      <c r="G148" s="32">
        <f>IF(OR(E148="",D148=""),"",D148*INDEX(Guide!$C$51:$C$78,MATCH(E148,Guide!$A$51:$A$78,0)))</f>
        <v/>
      </c>
      <c r="H148" s="40">
        <f>IF(E148="","",IF(COUNTIF(INDEX(Guide!$E$25:$R$36,0,Guide!$B$6),E148)&gt;0,"✓",""))</f>
        <v/>
      </c>
      <c r="I148" s="41">
        <f>IF(E148="","",IFERROR(INDEX(INDEX(Guide!$E$44:$R$46,0,Guide!$B$6),MATCH(E148,INDEX(Guide!$E$39:$R$41,0,Guide!$B$6),0)),""))</f>
        <v/>
      </c>
    </row>
    <row r="149" ht="17" customHeight="1">
      <c r="A149" s="29" t="n"/>
      <c r="B149" s="30" t="n"/>
      <c r="C149" s="30" t="n"/>
      <c r="D149" s="38" t="n"/>
      <c r="E149" s="16" t="n"/>
      <c r="F149" s="39">
        <f>IF(E149="","",INDEX(Guide!$B$51:$B$78,MATCH(E149,Guide!$A$51:$A$78,0)))</f>
        <v/>
      </c>
      <c r="G149" s="32">
        <f>IF(OR(E149="",D149=""),"",D149*INDEX(Guide!$C$51:$C$78,MATCH(E149,Guide!$A$51:$A$78,0)))</f>
        <v/>
      </c>
      <c r="H149" s="40">
        <f>IF(E149="","",IF(COUNTIF(INDEX(Guide!$E$25:$R$36,0,Guide!$B$6),E149)&gt;0,"✓",""))</f>
        <v/>
      </c>
      <c r="I149" s="41">
        <f>IF(E149="","",IFERROR(INDEX(INDEX(Guide!$E$44:$R$46,0,Guide!$B$6),MATCH(E149,INDEX(Guide!$E$39:$R$41,0,Guide!$B$6),0)),""))</f>
        <v/>
      </c>
    </row>
    <row r="150" ht="17" customHeight="1">
      <c r="A150" s="29" t="n"/>
      <c r="B150" s="30" t="n"/>
      <c r="C150" s="30" t="n"/>
      <c r="D150" s="38" t="n"/>
      <c r="E150" s="16" t="n"/>
      <c r="F150" s="39">
        <f>IF(E150="","",INDEX(Guide!$B$51:$B$78,MATCH(E150,Guide!$A$51:$A$78,0)))</f>
        <v/>
      </c>
      <c r="G150" s="32">
        <f>IF(OR(E150="",D150=""),"",D150*INDEX(Guide!$C$51:$C$78,MATCH(E150,Guide!$A$51:$A$78,0)))</f>
        <v/>
      </c>
      <c r="H150" s="40">
        <f>IF(E150="","",IF(COUNTIF(INDEX(Guide!$E$25:$R$36,0,Guide!$B$6),E150)&gt;0,"✓",""))</f>
        <v/>
      </c>
      <c r="I150" s="41">
        <f>IF(E150="","",IFERROR(INDEX(INDEX(Guide!$E$44:$R$46,0,Guide!$B$6),MATCH(E150,INDEX(Guide!$E$39:$R$41,0,Guide!$B$6),0)),""))</f>
        <v/>
      </c>
    </row>
    <row r="151" ht="17" customHeight="1">
      <c r="A151" s="29" t="n"/>
      <c r="B151" s="30" t="n"/>
      <c r="C151" s="30" t="n"/>
      <c r="D151" s="38" t="n"/>
      <c r="E151" s="16" t="n"/>
      <c r="F151" s="39">
        <f>IF(E151="","",INDEX(Guide!$B$51:$B$78,MATCH(E151,Guide!$A$51:$A$78,0)))</f>
        <v/>
      </c>
      <c r="G151" s="32">
        <f>IF(OR(E151="",D151=""),"",D151*INDEX(Guide!$C$51:$C$78,MATCH(E151,Guide!$A$51:$A$78,0)))</f>
        <v/>
      </c>
      <c r="H151" s="40">
        <f>IF(E151="","",IF(COUNTIF(INDEX(Guide!$E$25:$R$36,0,Guide!$B$6),E151)&gt;0,"✓",""))</f>
        <v/>
      </c>
      <c r="I151" s="41">
        <f>IF(E151="","",IFERROR(INDEX(INDEX(Guide!$E$44:$R$46,0,Guide!$B$6),MATCH(E151,INDEX(Guide!$E$39:$R$41,0,Guide!$B$6),0)),""))</f>
        <v/>
      </c>
    </row>
    <row r="152" ht="17" customHeight="1">
      <c r="A152" s="29" t="n"/>
      <c r="B152" s="30" t="n"/>
      <c r="C152" s="30" t="n"/>
      <c r="D152" s="38" t="n"/>
      <c r="E152" s="16" t="n"/>
      <c r="F152" s="39">
        <f>IF(E152="","",INDEX(Guide!$B$51:$B$78,MATCH(E152,Guide!$A$51:$A$78,0)))</f>
        <v/>
      </c>
      <c r="G152" s="32">
        <f>IF(OR(E152="",D152=""),"",D152*INDEX(Guide!$C$51:$C$78,MATCH(E152,Guide!$A$51:$A$78,0)))</f>
        <v/>
      </c>
      <c r="H152" s="40">
        <f>IF(E152="","",IF(COUNTIF(INDEX(Guide!$E$25:$R$36,0,Guide!$B$6),E152)&gt;0,"✓",""))</f>
        <v/>
      </c>
      <c r="I152" s="41">
        <f>IF(E152="","",IFERROR(INDEX(INDEX(Guide!$E$44:$R$46,0,Guide!$B$6),MATCH(E152,INDEX(Guide!$E$39:$R$41,0,Guide!$B$6),0)),""))</f>
        <v/>
      </c>
    </row>
    <row r="153" ht="17" customHeight="1">
      <c r="A153" s="29" t="n"/>
      <c r="B153" s="30" t="n"/>
      <c r="C153" s="30" t="n"/>
      <c r="D153" s="38" t="n"/>
      <c r="E153" s="16" t="n"/>
      <c r="F153" s="39">
        <f>IF(E153="","",INDEX(Guide!$B$51:$B$78,MATCH(E153,Guide!$A$51:$A$78,0)))</f>
        <v/>
      </c>
      <c r="G153" s="32">
        <f>IF(OR(E153="",D153=""),"",D153*INDEX(Guide!$C$51:$C$78,MATCH(E153,Guide!$A$51:$A$78,0)))</f>
        <v/>
      </c>
      <c r="H153" s="40">
        <f>IF(E153="","",IF(COUNTIF(INDEX(Guide!$E$25:$R$36,0,Guide!$B$6),E153)&gt;0,"✓",""))</f>
        <v/>
      </c>
      <c r="I153" s="41">
        <f>IF(E153="","",IFERROR(INDEX(INDEX(Guide!$E$44:$R$46,0,Guide!$B$6),MATCH(E153,INDEX(Guide!$E$39:$R$41,0,Guide!$B$6),0)),""))</f>
        <v/>
      </c>
    </row>
    <row r="154" ht="17" customHeight="1">
      <c r="A154" s="29" t="n"/>
      <c r="B154" s="30" t="n"/>
      <c r="C154" s="30" t="n"/>
      <c r="D154" s="38" t="n"/>
      <c r="E154" s="16" t="n"/>
      <c r="F154" s="39">
        <f>IF(E154="","",INDEX(Guide!$B$51:$B$78,MATCH(E154,Guide!$A$51:$A$78,0)))</f>
        <v/>
      </c>
      <c r="G154" s="32">
        <f>IF(OR(E154="",D154=""),"",D154*INDEX(Guide!$C$51:$C$78,MATCH(E154,Guide!$A$51:$A$78,0)))</f>
        <v/>
      </c>
      <c r="H154" s="40">
        <f>IF(E154="","",IF(COUNTIF(INDEX(Guide!$E$25:$R$36,0,Guide!$B$6),E154)&gt;0,"✓",""))</f>
        <v/>
      </c>
      <c r="I154" s="41">
        <f>IF(E154="","",IFERROR(INDEX(INDEX(Guide!$E$44:$R$46,0,Guide!$B$6),MATCH(E154,INDEX(Guide!$E$39:$R$41,0,Guide!$B$6),0)),""))</f>
        <v/>
      </c>
    </row>
    <row r="155" ht="17" customHeight="1">
      <c r="A155" s="29" t="n"/>
      <c r="B155" s="30" t="n"/>
      <c r="C155" s="30" t="n"/>
      <c r="D155" s="38" t="n"/>
      <c r="E155" s="16" t="n"/>
      <c r="F155" s="39">
        <f>IF(E155="","",INDEX(Guide!$B$51:$B$78,MATCH(E155,Guide!$A$51:$A$78,0)))</f>
        <v/>
      </c>
      <c r="G155" s="32">
        <f>IF(OR(E155="",D155=""),"",D155*INDEX(Guide!$C$51:$C$78,MATCH(E155,Guide!$A$51:$A$78,0)))</f>
        <v/>
      </c>
      <c r="H155" s="40">
        <f>IF(E155="","",IF(COUNTIF(INDEX(Guide!$E$25:$R$36,0,Guide!$B$6),E155)&gt;0,"✓",""))</f>
        <v/>
      </c>
      <c r="I155" s="41">
        <f>IF(E155="","",IFERROR(INDEX(INDEX(Guide!$E$44:$R$46,0,Guide!$B$6),MATCH(E155,INDEX(Guide!$E$39:$R$41,0,Guide!$B$6),0)),""))</f>
        <v/>
      </c>
    </row>
    <row r="156" ht="17" customHeight="1">
      <c r="A156" s="29" t="n"/>
      <c r="B156" s="30" t="n"/>
      <c r="C156" s="30" t="n"/>
      <c r="D156" s="38" t="n"/>
      <c r="E156" s="16" t="n"/>
      <c r="F156" s="39">
        <f>IF(E156="","",INDEX(Guide!$B$51:$B$78,MATCH(E156,Guide!$A$51:$A$78,0)))</f>
        <v/>
      </c>
      <c r="G156" s="32">
        <f>IF(OR(E156="",D156=""),"",D156*INDEX(Guide!$C$51:$C$78,MATCH(E156,Guide!$A$51:$A$78,0)))</f>
        <v/>
      </c>
      <c r="H156" s="40">
        <f>IF(E156="","",IF(COUNTIF(INDEX(Guide!$E$25:$R$36,0,Guide!$B$6),E156)&gt;0,"✓",""))</f>
        <v/>
      </c>
      <c r="I156" s="41">
        <f>IF(E156="","",IFERROR(INDEX(INDEX(Guide!$E$44:$R$46,0,Guide!$B$6),MATCH(E156,INDEX(Guide!$E$39:$R$41,0,Guide!$B$6),0)),""))</f>
        <v/>
      </c>
    </row>
    <row r="157" ht="22" customHeight="1">
      <c r="A157" s="33" t="n"/>
      <c r="B157" s="33" t="n"/>
      <c r="C157" s="34" t="inlineStr">
        <is>
          <t>Totals</t>
        </is>
      </c>
      <c r="D157" s="36">
        <f>SUM(D7:D156)</f>
        <v/>
      </c>
      <c r="E157" s="33" t="n"/>
      <c r="F157" s="33" t="n"/>
      <c r="G157" s="36">
        <f>SUM(G7:G156)</f>
        <v/>
      </c>
      <c r="H157" s="33" t="n"/>
      <c r="I157" s="33" t="n"/>
    </row>
    <row r="159" ht="30" customHeight="1">
      <c r="A159" s="7" t="inlineStr">
        <is>
          <t>Prepared for planning with Grott Luker &amp; Co. This workbook organizes your records; it does not determine what is deductible. Entries are your own; review with your Grott Luker CPA before anything is used in a return or a decision.</t>
        </is>
      </c>
    </row>
  </sheetData>
  <mergeCells count="1">
    <mergeCell ref="A159:I159"/>
  </mergeCells>
  <dataValidations count="1">
    <dataValidation sqref="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showDropDown="0" showInputMessage="0" showErrorMessage="0" allowBlank="1" errorTitle="Category" error="Pick a category from the list (see the Guide sheet)." type="list">
      <formula1>=Guide!$A$51:$A$78</formula1>
    </dataValidation>
  </dataValidations>
  <pageMargins left="0.5" right="0.5" top="0.6" bottom="0.6" header="0.5" footer="0.5"/>
  <pageSetup orientation="landscape" fitToHeight="0" fitToWidth="1"/>
  <headerFooter>
    <oddHeader/>
    <oddFooter>&amp;L&amp;8 Grott Luker &amp; Co. · Mileage &amp; Expense Log 2026&amp;R&amp;8 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rgb="000F2440"/>
    <outlinePr summaryBelow="1" summaryRight="1"/>
    <pageSetUpPr fitToPage="1"/>
  </sheetPr>
  <dimension ref="A1:F43"/>
  <sheetViews>
    <sheetView showGridLines="0" showRowColHeaders="0" zoomScale="110" workbookViewId="0">
      <selection activeCell="A1" sqref="A1"/>
    </sheetView>
  </sheetViews>
  <sheetFormatPr baseColWidth="8" defaultRowHeight="15"/>
  <cols>
    <col width="30" customWidth="1" min="1" max="1"/>
    <col width="14" customWidth="1" min="2" max="2"/>
    <col width="14" customWidth="1" min="3" max="3"/>
    <col width="3" customWidth="1" min="4" max="4"/>
    <col width="14" customWidth="1" min="5" max="5"/>
    <col width="14" customWidth="1" min="6" max="6"/>
  </cols>
  <sheetData>
    <row r="1" ht="10" customHeight="1">
      <c r="A1" s="1" t="n"/>
      <c r="B1" s="1" t="n"/>
      <c r="C1" s="1" t="n"/>
      <c r="D1" s="1" t="n"/>
      <c r="E1" s="1" t="n"/>
      <c r="F1" s="1" t="n"/>
    </row>
    <row r="2" ht="40" customHeight="1">
      <c r="A2" s="1" t="n"/>
      <c r="B2" s="1" t="n"/>
      <c r="C2" s="1" t="n"/>
      <c r="D2" s="1" t="n"/>
      <c r="E2" s="1" t="n"/>
      <c r="F2" s="2" t="inlineStr">
        <is>
          <t>Year-end summary</t>
        </is>
      </c>
    </row>
    <row r="3" ht="14" customHeight="1">
      <c r="A3" s="1" t="n"/>
      <c r="B3" s="1" t="n"/>
      <c r="C3" s="1" t="n"/>
      <c r="D3" s="1" t="n"/>
      <c r="E3" s="1" t="n"/>
      <c r="F3" s="3">
        <f>"Tax year "&amp;Log!$B$6&amp;"   ·   Powered by BlueLine Advisors"   ·   Powered by BlueLine Advisors</f>
        <v/>
      </c>
    </row>
    <row r="4" ht="10" customHeight="1"/>
    <row r="5">
      <c r="A5" s="42">
        <f>"Prepared for discussion with Grott Luker &amp; Co. · "&amp;Log!$B$9</f>
        <v/>
      </c>
    </row>
    <row r="7" ht="16" customHeight="1">
      <c r="A7" s="43" t="inlineStr">
        <is>
          <t>ESTIMATED DEDUCTIONS — MILEAGE PLUS COUNTED EXPENSES</t>
        </is>
      </c>
    </row>
    <row r="8" ht="38" customHeight="1">
      <c r="A8" s="44">
        <f>Travel!G157+Expenses!G157</f>
        <v/>
      </c>
    </row>
    <row r="9" ht="16" customHeight="1">
      <c r="A9" s="45">
        <f>Travel!D157&amp;" miles logged · "&amp;TEXT(Expenses!D157,"$#,##0")&amp;" of expenses logged"</f>
        <v/>
      </c>
    </row>
    <row r="11" ht="16" customHeight="1">
      <c r="A11" s="43" t="inlineStr">
        <is>
          <t>BUSINESS MILES</t>
        </is>
      </c>
      <c r="C11" s="43" t="inlineStr">
        <is>
          <t>CHARITY MILES</t>
        </is>
      </c>
      <c r="E11" s="43" t="inlineStr">
        <is>
          <t>MEDICAL MILES</t>
        </is>
      </c>
    </row>
    <row r="12" ht="30" customHeight="1">
      <c r="A12" s="46">
        <f>SUMIFS(Travel!$D$7:$D$156,Travel!$E$7:$E$156,"Business")</f>
        <v/>
      </c>
      <c r="C12" s="46">
        <f>SUMIFS(Travel!$D$7:$D$156,Travel!$E$7:$E$156,"Charity")</f>
        <v/>
      </c>
      <c r="E12" s="46">
        <f>SUMIFS(Travel!$D$7:$D$156,Travel!$E$7:$E$156,"Medical")</f>
        <v/>
      </c>
    </row>
    <row r="13" ht="16" customHeight="1">
      <c r="A13" s="45">
        <f>TEXT(SUMIFS(Travel!$G$7:$G$156,Travel!$E$7:$E$156,"Business"),"$#,##0.00")</f>
        <v/>
      </c>
      <c r="C13" s="45">
        <f>TEXT(SUMIFS(Travel!$G$7:$G$156,Travel!$E$7:$E$156,"Charity"),"$#,##0.00")</f>
        <v/>
      </c>
      <c r="E13" s="45">
        <f>TEXT(SUMIFS(Travel!$G$7:$G$156,Travel!$E$7:$E$156,"Medical"),"$#,##0.00")</f>
        <v/>
      </c>
    </row>
    <row r="15" ht="16" customHeight="1">
      <c r="A15" s="43" t="inlineStr">
        <is>
          <t>COUNTED IN THE ESTIMATE</t>
        </is>
      </c>
      <c r="C15" s="43" t="inlineStr">
        <is>
          <t>FOR CPA REVIEW</t>
        </is>
      </c>
      <c r="E15" s="43" t="inlineStr">
        <is>
          <t>NOT DEDUCTIBLE</t>
        </is>
      </c>
    </row>
    <row r="16" ht="30" customHeight="1">
      <c r="A16" s="47">
        <f>SUMIFS(Expenses!$G$7:$G$156,Expenses!$F$7:$F$156,"Deductible")+SUMIFS(Expenses!$G$7:$G$156,Expenses!$F$7:$F$156,"Partly deductible")</f>
        <v/>
      </c>
      <c r="C16" s="47">
        <f>SUMIFS(Expenses!$D$7:$D$156,Expenses!$F$7:$F$156,"For your CPA")</f>
        <v/>
      </c>
      <c r="E16" s="47">
        <f>SUMIFS(Expenses!$D$7:$D$156,Expenses!$F$7:$F$156,"Not deductible")</f>
        <v/>
      </c>
    </row>
    <row r="17" ht="16" customHeight="1">
      <c r="A17" s="45" t="inlineStr">
        <is>
          <t>deductible and partly deductible</t>
        </is>
      </c>
      <c r="C17" s="45" t="inlineStr">
        <is>
          <t>equipment, phone, home office, inventory</t>
        </is>
      </c>
      <c r="E17" s="45" t="inlineStr">
        <is>
          <t>recorded, counted at zero</t>
        </is>
      </c>
    </row>
    <row r="19" ht="24" customHeight="1">
      <c r="A19" s="11" t="inlineStr">
        <is>
          <t>Expenses by treatment</t>
        </is>
      </c>
      <c r="B19" s="12" t="n"/>
      <c r="C19" s="12" t="n"/>
      <c r="D19" s="12" t="n"/>
      <c r="E19" s="12" t="n"/>
      <c r="F19" s="12" t="n"/>
    </row>
    <row r="20" ht="18" customHeight="1">
      <c r="A20" s="19" t="inlineStr">
        <is>
          <t>TREATMENT</t>
        </is>
      </c>
      <c r="B20" s="21" t="inlineStr">
        <is>
          <t>LOGGED</t>
        </is>
      </c>
      <c r="C20" s="21" t="inlineStr">
        <is>
          <t>COUNTED</t>
        </is>
      </c>
      <c r="D20" s="20" t="n"/>
      <c r="E20" s="21" t="inlineStr">
        <is>
          <t>ENTRIES</t>
        </is>
      </c>
    </row>
    <row r="21">
      <c r="A21" s="13" t="inlineStr">
        <is>
          <t>Deductible</t>
        </is>
      </c>
      <c r="B21" s="32">
        <f>SUMIFS(Expenses!$D$7:$D$156,Expenses!$F$7:$F$156,"Deductible")</f>
        <v/>
      </c>
      <c r="C21" s="32">
        <f>SUMIFS(Expenses!$G$7:$G$156,Expenses!$F$7:$F$156,"Deductible")</f>
        <v/>
      </c>
      <c r="E21" s="48">
        <f>COUNTIFS(Expenses!$F$7:$F$156,"Deductible",Expenses!$D$7:$D$156,"&gt;0")</f>
        <v/>
      </c>
    </row>
    <row r="22">
      <c r="A22" s="13" t="inlineStr">
        <is>
          <t>Partly deductible</t>
        </is>
      </c>
      <c r="B22" s="32">
        <f>SUMIFS(Expenses!$D$7:$D$156,Expenses!$F$7:$F$156,"Partly deductible")</f>
        <v/>
      </c>
      <c r="C22" s="32">
        <f>SUMIFS(Expenses!$G$7:$G$156,Expenses!$F$7:$F$156,"Partly deductible")</f>
        <v/>
      </c>
      <c r="E22" s="48">
        <f>COUNTIFS(Expenses!$F$7:$F$156,"Partly deductible",Expenses!$D$7:$D$156,"&gt;0")</f>
        <v/>
      </c>
    </row>
    <row r="23">
      <c r="A23" s="13" t="inlineStr">
        <is>
          <t>For your CPA</t>
        </is>
      </c>
      <c r="B23" s="32">
        <f>SUMIFS(Expenses!$D$7:$D$156,Expenses!$F$7:$F$156,"For your CPA")</f>
        <v/>
      </c>
      <c r="C23" s="32">
        <f>SUMIFS(Expenses!$G$7:$G$156,Expenses!$F$7:$F$156,"For your CPA")</f>
        <v/>
      </c>
      <c r="E23" s="48">
        <f>COUNTIFS(Expenses!$F$7:$F$156,"For your CPA",Expenses!$D$7:$D$156,"&gt;0")</f>
        <v/>
      </c>
    </row>
    <row r="24">
      <c r="A24" s="13" t="inlineStr">
        <is>
          <t>Not deductible</t>
        </is>
      </c>
      <c r="B24" s="32">
        <f>SUMIFS(Expenses!$D$7:$D$156,Expenses!$F$7:$F$156,"Not deductible")</f>
        <v/>
      </c>
      <c r="C24" s="32">
        <f>SUMIFS(Expenses!$G$7:$G$156,Expenses!$F$7:$F$156,"Not deductible")</f>
        <v/>
      </c>
      <c r="E24" s="48">
        <f>COUNTIFS(Expenses!$F$7:$F$156,"Not deductible",Expenses!$D$7:$D$156,"&gt;0")</f>
        <v/>
      </c>
    </row>
    <row r="25" ht="22" customHeight="1">
      <c r="A25" s="49" t="inlineStr">
        <is>
          <t>All expenses</t>
        </is>
      </c>
      <c r="B25" s="36">
        <f>SUM(B21:B24)</f>
        <v/>
      </c>
      <c r="C25" s="36">
        <f>SUM(C21:C24)</f>
        <v/>
      </c>
      <c r="D25" s="33" t="n"/>
      <c r="E25" s="35">
        <f>SUM(E21:E24)</f>
        <v/>
      </c>
    </row>
    <row r="27" ht="24" customHeight="1">
      <c r="A27" s="11">
        <f>"Notes for "&amp;LOWER(LEFT(Log!$B$9,1))&amp;MID(Log!$B$9,2,200)</f>
        <v/>
      </c>
      <c r="B27" s="12" t="n"/>
      <c r="C27" s="12" t="n"/>
      <c r="D27" s="12" t="n"/>
      <c r="E27" s="12" t="n"/>
      <c r="F27" s="12" t="n"/>
    </row>
    <row r="28" ht="32" customHeight="1">
      <c r="A28" s="24">
        <f>T(INDEX(Guide!$E$39:$R$41,1,Guide!$B$6))</f>
        <v/>
      </c>
      <c r="B28" s="25">
        <f>T(INDEX(Guide!$E$44:$R$46,1,Guide!$B$6))</f>
        <v/>
      </c>
      <c r="C28" s="17" t="n"/>
      <c r="D28" s="17" t="n"/>
      <c r="E28" s="17" t="n"/>
      <c r="F28" s="17" t="n"/>
    </row>
    <row r="29" ht="32" customHeight="1">
      <c r="A29" s="24">
        <f>T(INDEX(Guide!$E$39:$R$41,2,Guide!$B$6))</f>
        <v/>
      </c>
      <c r="B29" s="25">
        <f>T(INDEX(Guide!$E$44:$R$46,2,Guide!$B$6))</f>
        <v/>
      </c>
      <c r="C29" s="17" t="n"/>
      <c r="D29" s="17" t="n"/>
      <c r="E29" s="17" t="n"/>
      <c r="F29" s="17" t="n"/>
    </row>
    <row r="30" ht="32" customHeight="1">
      <c r="A30" s="24">
        <f>T(INDEX(Guide!$E$39:$R$41,3,Guide!$B$6))</f>
        <v/>
      </c>
      <c r="B30" s="25">
        <f>T(INDEX(Guide!$E$44:$R$46,3,Guide!$B$6))</f>
        <v/>
      </c>
      <c r="C30" s="17" t="n"/>
      <c r="D30" s="17" t="n"/>
      <c r="E30" s="17" t="n"/>
      <c r="F30" s="17" t="n"/>
    </row>
    <row r="32" ht="18" customHeight="1">
      <c r="A32" s="50" t="inlineStr">
        <is>
          <t>Reading this</t>
        </is>
      </c>
      <c r="B32" s="51" t="n"/>
      <c r="C32" s="51" t="n"/>
      <c r="D32" s="51" t="n"/>
      <c r="E32" s="51" t="n"/>
      <c r="F32" s="51" t="n"/>
    </row>
    <row r="33" ht="30" customHeight="1">
      <c r="A33" s="52" t="inlineStr">
        <is>
          <t>Counted amounts are estimates from the category you chose. Items marked For your CPA are logged but not counted; your CPA places them.</t>
        </is>
      </c>
    </row>
    <row r="34" ht="30" customHeight="1">
      <c r="A34" s="52" t="inlineStr">
        <is>
          <t>Parking and tolls add to the mileage deduction. Vehicle costs such as gas and repairs are already inside the standard mileage rate.</t>
        </is>
      </c>
    </row>
    <row r="36" ht="30" customHeight="1">
      <c r="A36" s="7" t="inlineStr">
        <is>
          <t>Prepared for planning with Grott Luker &amp; Co. This workbook organizes your records; it does not determine what is deductible. Entries are your own; review with your Grott Luker CPA before anything is used in a return or a decision.</t>
        </is>
      </c>
    </row>
    <row r="38" ht="15" customHeight="1">
      <c r="A38" s="8" t="inlineStr">
        <is>
          <t>Grott Luker &amp; Co.</t>
        </is>
      </c>
    </row>
    <row r="39" ht="15" customHeight="1">
      <c r="A39" s="9" t="inlineStr">
        <is>
          <t>Certified Public Accountants · Portsmouth, New Hampshire · Accounting | Tax Planning | Advisory</t>
        </is>
      </c>
    </row>
    <row r="40" ht="15" customHeight="1">
      <c r="A40" s="9" t="inlineStr">
        <is>
          <t>Questions about this workbook go to your Grott Luker CPA.</t>
        </is>
      </c>
    </row>
    <row r="41" ht="15" customHeight="1">
      <c r="A41" s="9" t="inlineStr"/>
    </row>
    <row r="42" ht="15" customHeight="1">
      <c r="A42" s="10" t="inlineStr">
        <is>
          <t>Powered by BlueLine Advisors</t>
        </is>
      </c>
    </row>
    <row r="43" ht="30" customHeight="1">
      <c r="A43" s="7" t="inlineStr">
        <is>
          <t>The Client Decision Support Toolkit and its templates are built and maintained for Grott Luker &amp; Co. by BlueLine Advisors, LLC, an SEC-registered investment adviser in Exeter, NH (registration does not imply any particular level of skill). Using this workbook does not create an advisory relationship with BlueLine.</t>
        </is>
      </c>
    </row>
  </sheetData>
  <mergeCells count="34">
    <mergeCell ref="A41:F41"/>
    <mergeCell ref="E12:F12"/>
    <mergeCell ref="A15:B15"/>
    <mergeCell ref="C15:D15"/>
    <mergeCell ref="A11:B11"/>
    <mergeCell ref="E17:F17"/>
    <mergeCell ref="A33:F33"/>
    <mergeCell ref="A16:B16"/>
    <mergeCell ref="A42:F42"/>
    <mergeCell ref="C16:D16"/>
    <mergeCell ref="A5:F5"/>
    <mergeCell ref="A8:F8"/>
    <mergeCell ref="E13:F13"/>
    <mergeCell ref="A12:B12"/>
    <mergeCell ref="A38:F38"/>
    <mergeCell ref="A43:F43"/>
    <mergeCell ref="C12:D12"/>
    <mergeCell ref="B29:F29"/>
    <mergeCell ref="E15:F15"/>
    <mergeCell ref="C11:D11"/>
    <mergeCell ref="B28:F28"/>
    <mergeCell ref="A9:F9"/>
    <mergeCell ref="E11:F11"/>
    <mergeCell ref="A34:F34"/>
    <mergeCell ref="A40:F40"/>
    <mergeCell ref="A17:B17"/>
    <mergeCell ref="C17:D17"/>
    <mergeCell ref="A39:F39"/>
    <mergeCell ref="B30:F30"/>
    <mergeCell ref="E16:F16"/>
    <mergeCell ref="A36:F36"/>
    <mergeCell ref="A13:B13"/>
    <mergeCell ref="C13:D13"/>
    <mergeCell ref="A7:F7"/>
  </mergeCells>
  <pageMargins left="0.5" right="0.5" top="0.6" bottom="0.6" header="0.5" footer="0.5"/>
  <pageSetup orientation="portrait" fitToHeight="0" fitToWidth="1"/>
  <headerFooter>
    <oddHeader/>
    <oddFooter>&amp;L&amp;8 Grott Luker &amp; Co. · Mileage &amp; Expense Log 2026&amp;R&amp;8 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tabColor rgb="000F2440"/>
    <outlinePr summaryBelow="1" summaryRight="1"/>
    <pageSetUpPr fitToPage="1"/>
  </sheetPr>
  <dimension ref="A1:R102"/>
  <sheetViews>
    <sheetView showGridLines="0" showRowColHeaders="0" zoomScale="110" workbookViewId="0">
      <pane ySplit="4" topLeftCell="A5" activePane="bottomLeft" state="frozen"/>
      <selection pane="bottomLeft" activeCell="A1" sqref="A1"/>
    </sheetView>
  </sheetViews>
  <sheetFormatPr baseColWidth="8" defaultRowHeight="15"/>
  <cols>
    <col width="44" customWidth="1" min="1" max="1"/>
    <col width="18" customWidth="1" min="2" max="2"/>
    <col width="10" customWidth="1" min="3" max="3"/>
    <col width="8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s>
  <sheetData>
    <row r="1" ht="10" customHeight="1">
      <c r="A1" s="1" t="n"/>
      <c r="B1" s="1" t="n"/>
      <c r="C1" s="1" t="n"/>
      <c r="D1" s="1" t="n"/>
    </row>
    <row r="2" ht="40" customHeight="1">
      <c r="A2" s="1" t="n"/>
      <c r="B2" s="1" t="n"/>
      <c r="C2" s="1" t="n"/>
      <c r="D2" s="2" t="inlineStr">
        <is>
          <t>Guide</t>
        </is>
      </c>
    </row>
    <row r="3" ht="14" customHeight="1">
      <c r="A3" s="1" t="n"/>
      <c r="B3" s="1" t="n"/>
      <c r="C3" s="1" t="n"/>
      <c r="D3" s="3" t="inlineStr">
        <is>
          <t>Categories, lines of work, and rates   ·   Powered by BlueLine Advisors</t>
        </is>
      </c>
    </row>
    <row r="4" ht="10" customHeight="1"/>
    <row r="5">
      <c r="A5" s="53" t="inlineStr">
        <is>
          <t>Selected line of work (from the Log sheet)</t>
        </is>
      </c>
      <c r="B5" s="54">
        <f>Log!$B$9</f>
        <v/>
      </c>
    </row>
    <row r="6">
      <c r="A6" s="53" t="inlineStr">
        <is>
          <t>Column of that line of work in the grids below</t>
        </is>
      </c>
      <c r="B6" s="54">
        <f>IFERROR(MATCH(Log!$B$9,Guide!$E$8:$R$8,0),14)</f>
        <v/>
      </c>
    </row>
    <row r="8" ht="42" customHeight="1">
      <c r="A8" s="53" t="inlineStr">
        <is>
          <t>LINES OF WORK →</t>
        </is>
      </c>
      <c r="E8" s="55" t="inlineStr">
        <is>
          <t>Carpenter, contractor, electrician, plumber or other trade</t>
        </is>
      </c>
      <c r="F8" s="55" t="inlineStr">
        <is>
          <t>Real estate agent or broker</t>
        </is>
      </c>
      <c r="G8" s="55" t="inlineStr">
        <is>
          <t>Doctor, dentist or other health practice</t>
        </is>
      </c>
      <c r="H8" s="55" t="inlineStr">
        <is>
          <t>Attorney, consultant, accountant or other professional</t>
        </is>
      </c>
      <c r="I8" s="55" t="inlineStr">
        <is>
          <t>Restaurant, caterer or food service</t>
        </is>
      </c>
      <c r="J8" s="55" t="inlineStr">
        <is>
          <t>Retail shop or online seller</t>
        </is>
      </c>
      <c r="K8" s="55" t="inlineStr">
        <is>
          <t>Rideshare, delivery or trucking</t>
        </is>
      </c>
      <c r="L8" s="55" t="inlineStr">
        <is>
          <t>Salon, barber, spa or personal care</t>
        </is>
      </c>
      <c r="M8" s="55" t="inlineStr">
        <is>
          <t>Landscaper, cleaner, painter or other home service</t>
        </is>
      </c>
      <c r="N8" s="55" t="inlineStr">
        <is>
          <t>IT, software developer or online business</t>
        </is>
      </c>
      <c r="O8" s="55" t="inlineStr">
        <is>
          <t>Photographer, designer, writer or other creative</t>
        </is>
      </c>
      <c r="P8" s="55" t="inlineStr">
        <is>
          <t>Trainer, coach, instructor or wellness</t>
        </is>
      </c>
      <c r="Q8" s="55" t="inlineStr">
        <is>
          <t>Rental property owner</t>
        </is>
      </c>
      <c r="R8" s="55" t="inlineStr">
        <is>
          <t>Other / general business</t>
        </is>
      </c>
    </row>
    <row r="10" ht="24" customHeight="1">
      <c r="A10" s="11" t="inlineStr">
        <is>
          <t>Pay extra attention to these — items</t>
        </is>
      </c>
      <c r="B10" s="12" t="n"/>
      <c r="C10" s="12" t="n"/>
      <c r="D10" s="12" t="n"/>
      <c r="E10" s="12" t="n"/>
      <c r="F10" s="12" t="n"/>
      <c r="G10" s="12" t="n"/>
      <c r="H10" s="12" t="n"/>
      <c r="I10" s="12" t="n"/>
      <c r="J10" s="12" t="n"/>
      <c r="K10" s="12" t="n"/>
      <c r="L10" s="12" t="n"/>
      <c r="M10" s="12" t="n"/>
      <c r="N10" s="12" t="n"/>
      <c r="O10" s="12" t="n"/>
      <c r="P10" s="12" t="n"/>
      <c r="Q10" s="12" t="n"/>
      <c r="R10" s="18" t="inlineStr">
        <is>
          <t>one column per line of work</t>
        </is>
      </c>
    </row>
    <row r="11">
      <c r="A11" s="15" t="inlineStr">
        <is>
          <t>Item 1</t>
        </is>
      </c>
      <c r="E11" s="9" t="inlineStr">
        <is>
          <t>Blades, bits, sandpaper, fasteners and other consumables</t>
        </is>
      </c>
      <c r="F11" s="9" t="inlineStr">
        <is>
          <t>MLS, board and license fees</t>
        </is>
      </c>
      <c r="G11" s="9" t="inlineStr">
        <is>
          <t>State license, DEA and board certification fees</t>
        </is>
      </c>
      <c r="H11" s="9" t="inlineStr">
        <is>
          <t>Bar, CPA society and licensing fees</t>
        </is>
      </c>
      <c r="I11" s="9" t="inlineStr">
        <is>
          <t>Food and beverage purchases</t>
        </is>
      </c>
      <c r="J11" s="9" t="inlineStr">
        <is>
          <t>Merchandise purchased for resale</t>
        </is>
      </c>
      <c r="K11" s="9" t="inlineStr">
        <is>
          <t>Tolls and paid parking while working</t>
        </is>
      </c>
      <c r="L11" s="9" t="inlineStr">
        <is>
          <t>Booth or chair rent</t>
        </is>
      </c>
      <c r="M11" s="9" t="inlineStr">
        <is>
          <t>Mowers, blowers, sprayers, machines; note the cost of each</t>
        </is>
      </c>
      <c r="N11" s="9" t="inlineStr">
        <is>
          <t>Computers, monitors and peripherals; note the cost of each</t>
        </is>
      </c>
      <c r="O11" s="9" t="inlineStr">
        <is>
          <t>Cameras, lenses, lights, computers; note the cost of each</t>
        </is>
      </c>
      <c r="P11" s="9" t="inlineStr">
        <is>
          <t>Studio, gym floor or room rent</t>
        </is>
      </c>
      <c r="Q11" s="9" t="inlineStr">
        <is>
          <t>Repair and maintenance materials and labor</t>
        </is>
      </c>
      <c r="R11" s="9" t="inlineStr">
        <is>
          <t>Meals with clients, business discussed</t>
        </is>
      </c>
    </row>
    <row r="12">
      <c r="A12" s="15" t="inlineStr">
        <is>
          <t>Item 2</t>
        </is>
      </c>
      <c r="E12" s="9" t="inlineStr">
        <is>
          <t>Hand and power tools; note the cost of each</t>
        </is>
      </c>
      <c r="F12" s="9" t="inlineStr">
        <is>
          <t>Lockboxes, yard signs and riders</t>
        </is>
      </c>
      <c r="G12" s="9" t="inlineStr">
        <is>
          <t>CME courses and the travel to reach them</t>
        </is>
      </c>
      <c r="H12" s="9" t="inlineStr">
        <is>
          <t>CLE, CPE and certification courses</t>
        </is>
      </c>
      <c r="I12" s="9" t="inlineStr">
        <is>
          <t>Smallwares, cleaning and paper supplies</t>
        </is>
      </c>
      <c r="J12" s="9" t="inlineStr">
        <is>
          <t>Packaging, boxes, labels and postage</t>
        </is>
      </c>
      <c r="K12" s="9" t="inlineStr">
        <is>
          <t>Phone plan and mount, business share</t>
        </is>
      </c>
      <c r="L12" s="9" t="inlineStr">
        <is>
          <t>Color, product, foils, towels and tools</t>
        </is>
      </c>
      <c r="M12" s="9" t="inlineStr">
        <is>
          <t>Fuel for equipment, mulch, chemicals, cleaning supplies</t>
        </is>
      </c>
      <c r="N12" s="9" t="inlineStr">
        <is>
          <t>Software, cloud hosting, domains, SaaS tools</t>
        </is>
      </c>
      <c r="O12" s="9" t="inlineStr">
        <is>
          <t>Editing software, cloud storage, stock assets</t>
        </is>
      </c>
      <c r="P12" s="9" t="inlineStr">
        <is>
          <t>Training equipment; note the cost of each</t>
        </is>
      </c>
      <c r="Q12" s="9" t="inlineStr">
        <is>
          <t>Landlord insurance</t>
        </is>
      </c>
      <c r="R12" s="9" t="inlineStr">
        <is>
          <t>Overnight travel and lodging</t>
        </is>
      </c>
    </row>
    <row r="13">
      <c r="A13" s="15" t="inlineStr">
        <is>
          <t>Item 3</t>
        </is>
      </c>
      <c r="E13" s="9" t="inlineStr">
        <is>
          <t>Work boots, gloves, safety glasses, hard hat, hi-vis</t>
        </is>
      </c>
      <c r="F13" s="9" t="inlineStr">
        <is>
          <t>Listing photography, staging and marketing</t>
        </is>
      </c>
      <c r="G13" s="9" t="inlineStr">
        <is>
          <t>Malpractice insurance</t>
        </is>
      </c>
      <c r="H13" s="9" t="inlineStr">
        <is>
          <t>Research, practice and e-signature software</t>
        </is>
      </c>
      <c r="I13" s="9" t="inlineStr">
        <is>
          <t>Kitchen equipment; note the cost of each</t>
        </is>
      </c>
      <c r="J13" s="9" t="inlineStr">
        <is>
          <t>POS, e-commerce and inventory subscriptions</t>
        </is>
      </c>
      <c r="K13" s="9" t="inlineStr">
        <is>
          <t>Passenger water, mints, chargers, cleaning supplies</t>
        </is>
      </c>
      <c r="L13" s="9" t="inlineStr">
        <is>
          <t>Chairs, dryers, stations; note the cost of each</t>
        </is>
      </c>
      <c r="M13" s="9" t="inlineStr">
        <is>
          <t>Trailer and storage rent</t>
        </is>
      </c>
      <c r="N13" s="9" t="inlineStr">
        <is>
          <t>Home office used only for work</t>
        </is>
      </c>
      <c r="O13" s="9" t="inlineStr">
        <is>
          <t>Props, backdrops, printing, portfolio materials</t>
        </is>
      </c>
      <c r="P13" s="9" t="inlineStr">
        <is>
          <t>Certifications, CEUs and CPR renewal</t>
        </is>
      </c>
      <c r="Q13" s="9" t="inlineStr">
        <is>
          <t>Property manager, attorney and accountant fees</t>
        </is>
      </c>
      <c r="R13" s="9" t="inlineStr">
        <is>
          <t>Parking and tolls</t>
        </is>
      </c>
    </row>
    <row r="14">
      <c r="A14" s="15" t="inlineStr">
        <is>
          <t>Item 4</t>
        </is>
      </c>
      <c r="E14" s="9" t="inlineStr">
        <is>
          <t>Dump, disposal and permit fees</t>
        </is>
      </c>
      <c r="F14" s="9" t="inlineStr">
        <is>
          <t>Open-house refreshments and flyers</t>
        </is>
      </c>
      <c r="G14" s="9" t="inlineStr">
        <is>
          <t>Scrubs, lab coats and clinical footwear</t>
        </is>
      </c>
      <c r="H14" s="9" t="inlineStr">
        <is>
          <t>Malpractice or E&amp;O insurance</t>
        </is>
      </c>
      <c r="I14" s="9" t="inlineStr">
        <is>
          <t>Staff wages and tips paid out</t>
        </is>
      </c>
      <c r="J14" s="9" t="inlineStr">
        <is>
          <t>Marketplace commissions and card fees</t>
        </is>
      </c>
      <c r="K14" s="9" t="inlineStr">
        <is>
          <t>Dash cam and phone accessories</t>
        </is>
      </c>
      <c r="L14" s="9" t="inlineStr">
        <is>
          <t>License renewals and classes</t>
        </is>
      </c>
      <c r="M14" s="9" t="inlineStr">
        <is>
          <t>Helpers and crew you paid</t>
        </is>
      </c>
      <c r="N14" s="9" t="inlineStr">
        <is>
          <t>Internet and phone, business share</t>
        </is>
      </c>
      <c r="O14" s="9" t="inlineStr">
        <is>
          <t>Portfolio site, ads and directory listings</t>
        </is>
      </c>
      <c r="P14" s="9" t="inlineStr">
        <is>
          <t>Liability insurance</t>
        </is>
      </c>
      <c r="Q14" s="9" t="inlineStr">
        <is>
          <t>Advertising for tenants and screening fees</t>
        </is>
      </c>
      <c r="R14" s="9" t="inlineStr">
        <is>
          <t>Office and job supplies</t>
        </is>
      </c>
    </row>
    <row r="15">
      <c r="A15" s="15" t="inlineStr">
        <is>
          <t>Item 5</t>
        </is>
      </c>
      <c r="E15" s="9" t="inlineStr">
        <is>
          <t>Subcontractors and helpers you paid</t>
        </is>
      </c>
      <c r="F15" s="9" t="inlineStr">
        <is>
          <t>Client closing gifts, $25 per person</t>
        </is>
      </c>
      <c r="G15" s="9" t="inlineStr">
        <is>
          <t>Clinical and office supplies</t>
        </is>
      </c>
      <c r="H15" s="9" t="inlineStr">
        <is>
          <t>Meals with clients and referral sources</t>
        </is>
      </c>
      <c r="I15" s="9" t="inlineStr">
        <is>
          <t>Rent and utilities</t>
        </is>
      </c>
      <c r="J15" s="9" t="inlineStr">
        <is>
          <t>Store rent and utilities</t>
        </is>
      </c>
      <c r="K15" s="9" t="inlineStr">
        <is>
          <t>Platform and commission fees on your statements</t>
        </is>
      </c>
      <c r="L15" s="9" t="inlineStr">
        <is>
          <t>Booking and payment apps</t>
        </is>
      </c>
      <c r="M15" s="9" t="inlineStr">
        <is>
          <t>Liability insurance</t>
        </is>
      </c>
      <c r="N15" s="9" t="inlineStr">
        <is>
          <t>Courses and certifications</t>
        </is>
      </c>
      <c r="O15" s="9" t="inlineStr">
        <is>
          <t>Travel to shoots and client sites</t>
        </is>
      </c>
      <c r="P15" s="9" t="inlineStr">
        <is>
          <t>Scheduling, payment and music-licensing subscriptions</t>
        </is>
      </c>
      <c r="Q15" s="9" t="inlineStr">
        <is>
          <t>Trips to the property to manage or repair it</t>
        </is>
      </c>
      <c r="R15" s="9" t="inlineStr">
        <is>
          <t>Software and subscriptions</t>
        </is>
      </c>
    </row>
    <row r="16">
      <c r="A16" s="15" t="inlineStr">
        <is>
          <t>Item 6</t>
        </is>
      </c>
      <c r="E16" s="9" t="inlineStr">
        <is>
          <t>Liability and tool insurance</t>
        </is>
      </c>
      <c r="F16" s="9" t="inlineStr">
        <is>
          <t>CRM, e-signature and showing apps</t>
        </is>
      </c>
      <c r="G16" s="9" t="inlineStr">
        <is>
          <t>Clinical equipment; note the cost of each</t>
        </is>
      </c>
      <c r="H16" s="9" t="inlineStr">
        <is>
          <t>Conference travel and lodging</t>
        </is>
      </c>
      <c r="I16" s="9" t="inlineStr">
        <is>
          <t>Aprons, chef coats and non-slip shoes</t>
        </is>
      </c>
      <c r="J16" s="9" t="inlineStr">
        <is>
          <t>Displays, fixtures and signage</t>
        </is>
      </c>
      <c r="K16" s="9" t="inlineStr">
        <is>
          <t>Rideshare insurance rider or commercial policy</t>
        </is>
      </c>
      <c r="L16" s="9" t="inlineStr">
        <is>
          <t>Card processing fees</t>
        </is>
      </c>
      <c r="M16" s="9" t="inlineStr">
        <is>
          <t>Uniforms, gloves, eye and ear protection</t>
        </is>
      </c>
      <c r="N16" s="9" t="inlineStr">
        <is>
          <t>Contractors you paid</t>
        </is>
      </c>
      <c r="O16" s="9" t="inlineStr">
        <is>
          <t>Workshops and classes</t>
        </is>
      </c>
      <c r="P16" s="9" t="inlineStr">
        <is>
          <t>Card processing fees</t>
        </is>
      </c>
      <c r="Q16" s="9" t="inlineStr">
        <is>
          <t>Landlord and bookkeeping software</t>
        </is>
      </c>
      <c r="R16" s="9" t="inlineStr">
        <is>
          <t>Phone and internet, business share</t>
        </is>
      </c>
    </row>
    <row r="17">
      <c r="A17" s="15" t="inlineStr">
        <is>
          <t>Item 7</t>
        </is>
      </c>
      <c r="E17" s="9" t="inlineStr">
        <is>
          <t>Trade license renewals and code classes</t>
        </is>
      </c>
      <c r="F17" s="9" t="inlineStr">
        <is>
          <t>Continuing-ed courses and exam fees</t>
        </is>
      </c>
      <c r="G17" s="9" t="inlineStr">
        <is>
          <t>EHR, scheduling and billing software</t>
        </is>
      </c>
      <c r="H17" s="9" t="inlineStr">
        <is>
          <t>Home office, if used only for work</t>
        </is>
      </c>
      <c r="I17" s="9" t="inlineStr">
        <is>
          <t>POS, reservation and delivery-platform fees</t>
        </is>
      </c>
      <c r="J17" s="9" t="inlineStr">
        <is>
          <t>Ads, promotions and influencer payments</t>
        </is>
      </c>
      <c r="K17" s="9" t="inlineStr">
        <is>
          <t>Background check and vehicle inspection fees</t>
        </is>
      </c>
      <c r="L17" s="9" t="inlineStr">
        <is>
          <t>Aprons, smocks and gloves</t>
        </is>
      </c>
      <c r="M17" s="9" t="inlineStr">
        <is>
          <t>Dump fees and permits</t>
        </is>
      </c>
      <c r="N17" s="9" t="inlineStr">
        <is>
          <t>Payment processor and app-store fees</t>
        </is>
      </c>
      <c r="O17" s="9" t="inlineStr">
        <is>
          <t>Gear insurance</t>
        </is>
      </c>
      <c r="P17" s="9" t="inlineStr">
        <is>
          <t>Ads, website and social media</t>
        </is>
      </c>
      <c r="Q17" s="9" t="inlineStr">
        <is>
          <t>HOA and condo dues</t>
        </is>
      </c>
      <c r="R17" s="9" t="inlineStr">
        <is>
          <t>Courses, licenses and certifications</t>
        </is>
      </c>
    </row>
    <row r="18">
      <c r="A18" s="15" t="inlineStr">
        <is>
          <t>Item 8</t>
        </is>
      </c>
      <c r="E18" s="9" t="inlineStr">
        <is>
          <t>Union dues and trade association fees</t>
        </is>
      </c>
      <c r="F18" s="9" t="inlineStr">
        <is>
          <t>Errors &amp; omissions insurance</t>
        </is>
      </c>
      <c r="G18" s="9" t="inlineStr">
        <is>
          <t>Staff wages and contract staff</t>
        </is>
      </c>
      <c r="H18" s="9" t="inlineStr">
        <is>
          <t>Phone plan, business share</t>
        </is>
      </c>
      <c r="I18" s="9" t="inlineStr">
        <is>
          <t>Liquor license, health permits, inspections</t>
        </is>
      </c>
      <c r="J18" s="9" t="inlineStr">
        <is>
          <t>Employee wages</t>
        </is>
      </c>
      <c r="K18" s="9" t="inlineStr">
        <is>
          <t>Roadside assistance membership</t>
        </is>
      </c>
      <c r="L18" s="9" t="inlineStr">
        <is>
          <t>Social ads and business cards</t>
        </is>
      </c>
      <c r="M18" s="9" t="inlineStr">
        <is>
          <t>Tolls and parking</t>
        </is>
      </c>
      <c r="N18" s="9" t="inlineStr">
        <is>
          <t>Conference travel</t>
        </is>
      </c>
      <c r="O18" s="9" t="inlineStr">
        <is>
          <t>Home studio used only for work</t>
        </is>
      </c>
      <c r="P18" s="9" t="inlineStr">
        <is>
          <t>Professional association dues</t>
        </is>
      </c>
      <c r="Q18" s="9" t="inlineStr">
        <is>
          <t>Utilities you pay for the unit</t>
        </is>
      </c>
      <c r="R18" s="9" t="inlineStr">
        <is>
          <t>Professional dues</t>
        </is>
      </c>
    </row>
    <row r="19">
      <c r="A19" s="15" t="inlineStr">
        <is>
          <t>Item 9</t>
        </is>
      </c>
      <c r="E19" s="9" t="inlineStr">
        <is>
          <t>Trailer, storage unit or shop rent</t>
        </is>
      </c>
      <c r="F19" s="9" t="inlineStr">
        <is>
          <t>Parking and tolls at showings and closings</t>
        </is>
      </c>
      <c r="G19" s="9" t="inlineStr">
        <is>
          <t>Office rent and utilities</t>
        </is>
      </c>
      <c r="H19" s="9" t="inlineStr">
        <is>
          <t>Website, directory listings and sponsorships</t>
        </is>
      </c>
      <c r="I19" s="9" t="inlineStr">
        <is>
          <t>Ads, menus, signage and social media</t>
        </is>
      </c>
      <c r="J19" s="9" t="inlineStr">
        <is>
          <t>Business insurance</t>
        </is>
      </c>
      <c r="L19" s="9" t="inlineStr">
        <is>
          <t>Liability insurance</t>
        </is>
      </c>
      <c r="M19" s="9" t="inlineStr">
        <is>
          <t>Yard signs, truck lettering, online ads</t>
        </is>
      </c>
      <c r="N19" s="9" t="inlineStr">
        <is>
          <t>Ads and marketing tools</t>
        </is>
      </c>
      <c r="O19" s="9" t="inlineStr">
        <is>
          <t>Assistants, models, second shooters</t>
        </is>
      </c>
      <c r="P19" s="9" t="inlineStr">
        <is>
          <t>Phone plan, business share</t>
        </is>
      </c>
      <c r="Q19" s="9" t="inlineStr">
        <is>
          <t>Improvements: new roof, HVAC, appliances; list each separately</t>
        </is>
      </c>
      <c r="R19" s="9" t="inlineStr">
        <is>
          <t>Advertising and website</t>
        </is>
      </c>
    </row>
    <row r="20">
      <c r="A20" s="15" t="inlineStr">
        <is>
          <t>Item 10</t>
        </is>
      </c>
      <c r="E20" s="9" t="inlineStr">
        <is>
          <t>Job-site parking and tolls</t>
        </is>
      </c>
      <c r="F20" s="9" t="inlineStr">
        <is>
          <t>Meals with clients and referral partners</t>
        </is>
      </c>
      <c r="G20" s="9" t="inlineStr">
        <is>
          <t>Billing service, attorney, accountant</t>
        </is>
      </c>
      <c r="H20" s="9" t="inlineStr">
        <is>
          <t>Bookkeeper, IT support, payroll service</t>
        </is>
      </c>
      <c r="I20" s="9" t="inlineStr">
        <is>
          <t>Liability, property and workers’ comp insurance</t>
        </is>
      </c>
      <c r="J20" s="9" t="inlineStr">
        <is>
          <t>Trade shows and buying trips</t>
        </is>
      </c>
      <c r="M20" s="9" t="inlineStr">
        <is>
          <t>Phone plan, business share</t>
        </is>
      </c>
      <c r="R20" s="9" t="inlineStr">
        <is>
          <t>Accountant, attorney and other professional fees</t>
        </is>
      </c>
    </row>
    <row r="21">
      <c r="A21" s="15" t="inlineStr">
        <is>
          <t>Item 11</t>
        </is>
      </c>
      <c r="E21" s="9" t="inlineStr">
        <is>
          <t>Truck lettering, website, business cards</t>
        </is>
      </c>
      <c r="F21" s="9" t="inlineStr">
        <is>
          <t>Phone plan, business share</t>
        </is>
      </c>
    </row>
    <row r="22">
      <c r="A22" s="15" t="inlineStr">
        <is>
          <t>Item 12</t>
        </is>
      </c>
      <c r="E22" s="9" t="inlineStr">
        <is>
          <t>Phone plan, business share</t>
        </is>
      </c>
    </row>
    <row r="24" ht="24" customHeight="1">
      <c r="A24" s="11" t="inlineStr">
        <is>
          <t>Pay extra attention to these — category of each item</t>
        </is>
      </c>
      <c r="B24" s="12" t="n"/>
      <c r="C24" s="12" t="n"/>
      <c r="D24" s="12" t="n"/>
      <c r="E24" s="12" t="n"/>
      <c r="F24" s="12" t="n"/>
      <c r="G24" s="12" t="n"/>
      <c r="H24" s="12" t="n"/>
      <c r="I24" s="12" t="n"/>
      <c r="J24" s="12" t="n"/>
      <c r="K24" s="12" t="n"/>
      <c r="L24" s="12" t="n"/>
      <c r="M24" s="12" t="n"/>
      <c r="N24" s="12" t="n"/>
      <c r="O24" s="12" t="n"/>
      <c r="P24" s="12" t="n"/>
      <c r="Q24" s="12" t="n"/>
      <c r="R24" s="12" t="n"/>
    </row>
    <row r="25">
      <c r="A25" s="15" t="inlineStr">
        <is>
          <t>Item 1</t>
        </is>
      </c>
      <c r="E25" s="54" t="inlineStr">
        <is>
          <t>Supplies &amp; materials</t>
        </is>
      </c>
      <c r="F25" s="54" t="inlineStr">
        <is>
          <t>Professional dues &amp; memberships</t>
        </is>
      </c>
      <c r="G25" s="54" t="inlineStr">
        <is>
          <t>Professional dues &amp; memberships</t>
        </is>
      </c>
      <c r="H25" s="54" t="inlineStr">
        <is>
          <t>Professional dues &amp; memberships</t>
        </is>
      </c>
      <c r="I25" s="54" t="inlineStr">
        <is>
          <t>Inventory &amp; cost of goods</t>
        </is>
      </c>
      <c r="J25" s="54" t="inlineStr">
        <is>
          <t>Inventory &amp; cost of goods</t>
        </is>
      </c>
      <c r="K25" s="54" t="inlineStr">
        <is>
          <t>Parking &amp; tolls</t>
        </is>
      </c>
      <c r="L25" s="54" t="inlineStr">
        <is>
          <t>Rent: office, booth, shop, storage, equipment</t>
        </is>
      </c>
      <c r="M25" s="54" t="inlineStr">
        <is>
          <t>Equipment, tools &amp; furniture</t>
        </is>
      </c>
      <c r="N25" s="54" t="inlineStr">
        <is>
          <t>Equipment, tools &amp; furniture</t>
        </is>
      </c>
      <c r="O25" s="54" t="inlineStr">
        <is>
          <t>Equipment, tools &amp; furniture</t>
        </is>
      </c>
      <c r="P25" s="54" t="inlineStr">
        <is>
          <t>Rent: office, booth, shop, storage, equipment</t>
        </is>
      </c>
      <c r="Q25" s="54" t="inlineStr">
        <is>
          <t>Supplies &amp; materials</t>
        </is>
      </c>
      <c r="R25" s="54" t="inlineStr">
        <is>
          <t>Business meal</t>
        </is>
      </c>
    </row>
    <row r="26">
      <c r="A26" s="15" t="inlineStr">
        <is>
          <t>Item 2</t>
        </is>
      </c>
      <c r="E26" s="54" t="inlineStr">
        <is>
          <t>Equipment, tools &amp; furniture</t>
        </is>
      </c>
      <c r="F26" s="54" t="inlineStr">
        <is>
          <t>Supplies &amp; materials</t>
        </is>
      </c>
      <c r="G26" s="54" t="inlineStr">
        <is>
          <t>Continuing education, licenses &amp; certifications</t>
        </is>
      </c>
      <c r="H26" s="54" t="inlineStr">
        <is>
          <t>Continuing education, licenses &amp; certifications</t>
        </is>
      </c>
      <c r="I26" s="54" t="inlineStr">
        <is>
          <t>Supplies &amp; materials</t>
        </is>
      </c>
      <c r="J26" s="54" t="inlineStr">
        <is>
          <t>Shipping &amp; postage</t>
        </is>
      </c>
      <c r="K26" s="54" t="inlineStr">
        <is>
          <t>Phone &amp; internet</t>
        </is>
      </c>
      <c r="L26" s="54" t="inlineStr">
        <is>
          <t>Supplies &amp; materials</t>
        </is>
      </c>
      <c r="M26" s="54" t="inlineStr">
        <is>
          <t>Supplies &amp; materials</t>
        </is>
      </c>
      <c r="N26" s="54" t="inlineStr">
        <is>
          <t>Software &amp; subscriptions</t>
        </is>
      </c>
      <c r="O26" s="54" t="inlineStr">
        <is>
          <t>Software &amp; subscriptions</t>
        </is>
      </c>
      <c r="P26" s="54" t="inlineStr">
        <is>
          <t>Equipment, tools &amp; furniture</t>
        </is>
      </c>
      <c r="Q26" s="54" t="inlineStr">
        <is>
          <t>Business insurance</t>
        </is>
      </c>
      <c r="R26" s="54" t="inlineStr">
        <is>
          <t>Travel: lodging, airfare, rail, rental car</t>
        </is>
      </c>
    </row>
    <row r="27">
      <c r="A27" s="15" t="inlineStr">
        <is>
          <t>Item 3</t>
        </is>
      </c>
      <c r="E27" s="54" t="inlineStr">
        <is>
          <t>Uniforms &amp; protective gear</t>
        </is>
      </c>
      <c r="F27" s="54" t="inlineStr">
        <is>
          <t>Advertising &amp; marketing</t>
        </is>
      </c>
      <c r="G27" s="54" t="inlineStr">
        <is>
          <t>Business insurance</t>
        </is>
      </c>
      <c r="H27" s="54" t="inlineStr">
        <is>
          <t>Software &amp; subscriptions</t>
        </is>
      </c>
      <c r="I27" s="54" t="inlineStr">
        <is>
          <t>Equipment, tools &amp; furniture</t>
        </is>
      </c>
      <c r="J27" s="54" t="inlineStr">
        <is>
          <t>Software &amp; subscriptions</t>
        </is>
      </c>
      <c r="K27" s="54" t="inlineStr">
        <is>
          <t>Supplies &amp; materials</t>
        </is>
      </c>
      <c r="L27" s="54" t="inlineStr">
        <is>
          <t>Equipment, tools &amp; furniture</t>
        </is>
      </c>
      <c r="M27" s="54" t="inlineStr">
        <is>
          <t>Rent: office, booth, shop, storage, equipment</t>
        </is>
      </c>
      <c r="N27" s="54" t="inlineStr">
        <is>
          <t>Home office</t>
        </is>
      </c>
      <c r="O27" s="54" t="inlineStr">
        <is>
          <t>Supplies &amp; materials</t>
        </is>
      </c>
      <c r="P27" s="54" t="inlineStr">
        <is>
          <t>Continuing education, licenses &amp; certifications</t>
        </is>
      </c>
      <c r="Q27" s="54" t="inlineStr">
        <is>
          <t>Professional, legal &amp; permit fees</t>
        </is>
      </c>
      <c r="R27" s="54" t="inlineStr">
        <is>
          <t>Parking &amp; tolls</t>
        </is>
      </c>
    </row>
    <row r="28">
      <c r="A28" s="15" t="inlineStr">
        <is>
          <t>Item 4</t>
        </is>
      </c>
      <c r="E28" s="54" t="inlineStr">
        <is>
          <t>Professional, legal &amp; permit fees</t>
        </is>
      </c>
      <c r="F28" s="54" t="inlineStr">
        <is>
          <t>Advertising &amp; marketing</t>
        </is>
      </c>
      <c r="G28" s="54" t="inlineStr">
        <is>
          <t>Uniforms &amp; protective gear</t>
        </is>
      </c>
      <c r="H28" s="54" t="inlineStr">
        <is>
          <t>Business insurance</t>
        </is>
      </c>
      <c r="I28" s="54" t="inlineStr">
        <is>
          <t>Contract labor &amp; wages</t>
        </is>
      </c>
      <c r="J28" s="54" t="inlineStr">
        <is>
          <t>Bank, card &amp; platform fees</t>
        </is>
      </c>
      <c r="K28" s="54" t="inlineStr">
        <is>
          <t>Equipment, tools &amp; furniture</t>
        </is>
      </c>
      <c r="L28" s="54" t="inlineStr">
        <is>
          <t>Continuing education, licenses &amp; certifications</t>
        </is>
      </c>
      <c r="M28" s="54" t="inlineStr">
        <is>
          <t>Contract labor &amp; wages</t>
        </is>
      </c>
      <c r="N28" s="54" t="inlineStr">
        <is>
          <t>Phone &amp; internet</t>
        </is>
      </c>
      <c r="O28" s="54" t="inlineStr">
        <is>
          <t>Advertising &amp; marketing</t>
        </is>
      </c>
      <c r="P28" s="54" t="inlineStr">
        <is>
          <t>Business insurance</t>
        </is>
      </c>
      <c r="Q28" s="54" t="inlineStr">
        <is>
          <t>Advertising &amp; marketing</t>
        </is>
      </c>
      <c r="R28" s="54" t="inlineStr">
        <is>
          <t>Supplies &amp; materials</t>
        </is>
      </c>
    </row>
    <row r="29">
      <c r="A29" s="15" t="inlineStr">
        <is>
          <t>Item 5</t>
        </is>
      </c>
      <c r="E29" s="54" t="inlineStr">
        <is>
          <t>Contract labor &amp; wages</t>
        </is>
      </c>
      <c r="F29" s="54" t="inlineStr">
        <is>
          <t>Business gifts</t>
        </is>
      </c>
      <c r="G29" s="54" t="inlineStr">
        <is>
          <t>Supplies &amp; materials</t>
        </is>
      </c>
      <c r="H29" s="54" t="inlineStr">
        <is>
          <t>Business meal</t>
        </is>
      </c>
      <c r="I29" s="54" t="inlineStr">
        <is>
          <t>Utilities for business space</t>
        </is>
      </c>
      <c r="J29" s="54" t="inlineStr">
        <is>
          <t>Rent: office, booth, shop, storage, equipment</t>
        </is>
      </c>
      <c r="K29" s="54" t="inlineStr">
        <is>
          <t>Bank, card &amp; platform fees</t>
        </is>
      </c>
      <c r="L29" s="54" t="inlineStr">
        <is>
          <t>Software &amp; subscriptions</t>
        </is>
      </c>
      <c r="M29" s="54" t="inlineStr">
        <is>
          <t>Business insurance</t>
        </is>
      </c>
      <c r="N29" s="54" t="inlineStr">
        <is>
          <t>Continuing education, licenses &amp; certifications</t>
        </is>
      </c>
      <c r="O29" s="54" t="inlineStr">
        <is>
          <t>Travel: lodging, airfare, rail, rental car</t>
        </is>
      </c>
      <c r="P29" s="54" t="inlineStr">
        <is>
          <t>Software &amp; subscriptions</t>
        </is>
      </c>
      <c r="Q29" s="54" t="inlineStr">
        <is>
          <t>Parking &amp; tolls</t>
        </is>
      </c>
      <c r="R29" s="54" t="inlineStr">
        <is>
          <t>Software &amp; subscriptions</t>
        </is>
      </c>
    </row>
    <row r="30">
      <c r="A30" s="15" t="inlineStr">
        <is>
          <t>Item 6</t>
        </is>
      </c>
      <c r="E30" s="54" t="inlineStr">
        <is>
          <t>Business insurance</t>
        </is>
      </c>
      <c r="F30" s="54" t="inlineStr">
        <is>
          <t>Software &amp; subscriptions</t>
        </is>
      </c>
      <c r="G30" s="54" t="inlineStr">
        <is>
          <t>Equipment, tools &amp; furniture</t>
        </is>
      </c>
      <c r="H30" s="54" t="inlineStr">
        <is>
          <t>Travel: lodging, airfare, rail, rental car</t>
        </is>
      </c>
      <c r="I30" s="54" t="inlineStr">
        <is>
          <t>Uniforms &amp; protective gear</t>
        </is>
      </c>
      <c r="J30" s="54" t="inlineStr">
        <is>
          <t>Supplies &amp; materials</t>
        </is>
      </c>
      <c r="K30" s="54" t="inlineStr">
        <is>
          <t>Business insurance</t>
        </is>
      </c>
      <c r="L30" s="54" t="inlineStr">
        <is>
          <t>Bank, card &amp; platform fees</t>
        </is>
      </c>
      <c r="M30" s="54" t="inlineStr">
        <is>
          <t>Uniforms &amp; protective gear</t>
        </is>
      </c>
      <c r="N30" s="54" t="inlineStr">
        <is>
          <t>Contract labor &amp; wages</t>
        </is>
      </c>
      <c r="O30" s="54" t="inlineStr">
        <is>
          <t>Continuing education, licenses &amp; certifications</t>
        </is>
      </c>
      <c r="P30" s="54" t="inlineStr">
        <is>
          <t>Bank, card &amp; platform fees</t>
        </is>
      </c>
      <c r="Q30" s="54" t="inlineStr">
        <is>
          <t>Software &amp; subscriptions</t>
        </is>
      </c>
      <c r="R30" s="54" t="inlineStr">
        <is>
          <t>Phone &amp; internet</t>
        </is>
      </c>
    </row>
    <row r="31">
      <c r="A31" s="15" t="inlineStr">
        <is>
          <t>Item 7</t>
        </is>
      </c>
      <c r="E31" s="54" t="inlineStr">
        <is>
          <t>Continuing education, licenses &amp; certifications</t>
        </is>
      </c>
      <c r="F31" s="54" t="inlineStr">
        <is>
          <t>Continuing education, licenses &amp; certifications</t>
        </is>
      </c>
      <c r="G31" s="54" t="inlineStr">
        <is>
          <t>Software &amp; subscriptions</t>
        </is>
      </c>
      <c r="H31" s="54" t="inlineStr">
        <is>
          <t>Home office</t>
        </is>
      </c>
      <c r="I31" s="54" t="inlineStr">
        <is>
          <t>Bank, card &amp; platform fees</t>
        </is>
      </c>
      <c r="J31" s="54" t="inlineStr">
        <is>
          <t>Advertising &amp; marketing</t>
        </is>
      </c>
      <c r="K31" s="54" t="inlineStr">
        <is>
          <t>Professional, legal &amp; permit fees</t>
        </is>
      </c>
      <c r="L31" s="54" t="inlineStr">
        <is>
          <t>Uniforms &amp; protective gear</t>
        </is>
      </c>
      <c r="M31" s="54" t="inlineStr">
        <is>
          <t>Professional, legal &amp; permit fees</t>
        </is>
      </c>
      <c r="N31" s="54" t="inlineStr">
        <is>
          <t>Bank, card &amp; platform fees</t>
        </is>
      </c>
      <c r="O31" s="54" t="inlineStr">
        <is>
          <t>Business insurance</t>
        </is>
      </c>
      <c r="P31" s="54" t="inlineStr">
        <is>
          <t>Advertising &amp; marketing</t>
        </is>
      </c>
      <c r="Q31" s="54" t="inlineStr">
        <is>
          <t>Professional dues &amp; memberships</t>
        </is>
      </c>
      <c r="R31" s="54" t="inlineStr">
        <is>
          <t>Continuing education, licenses &amp; certifications</t>
        </is>
      </c>
    </row>
    <row r="32">
      <c r="A32" s="15" t="inlineStr">
        <is>
          <t>Item 8</t>
        </is>
      </c>
      <c r="E32" s="54" t="inlineStr">
        <is>
          <t>Professional dues &amp; memberships</t>
        </is>
      </c>
      <c r="F32" s="54" t="inlineStr">
        <is>
          <t>Business insurance</t>
        </is>
      </c>
      <c r="G32" s="54" t="inlineStr">
        <is>
          <t>Contract labor &amp; wages</t>
        </is>
      </c>
      <c r="H32" s="54" t="inlineStr">
        <is>
          <t>Phone &amp; internet</t>
        </is>
      </c>
      <c r="I32" s="54" t="inlineStr">
        <is>
          <t>Professional, legal &amp; permit fees</t>
        </is>
      </c>
      <c r="J32" s="54" t="inlineStr">
        <is>
          <t>Contract labor &amp; wages</t>
        </is>
      </c>
      <c r="K32" s="54" t="inlineStr">
        <is>
          <t>Professional dues &amp; memberships</t>
        </is>
      </c>
      <c r="L32" s="54" t="inlineStr">
        <is>
          <t>Advertising &amp; marketing</t>
        </is>
      </c>
      <c r="M32" s="54" t="inlineStr">
        <is>
          <t>Parking &amp; tolls</t>
        </is>
      </c>
      <c r="N32" s="54" t="inlineStr">
        <is>
          <t>Travel: lodging, airfare, rail, rental car</t>
        </is>
      </c>
      <c r="O32" s="54" t="inlineStr">
        <is>
          <t>Home office</t>
        </is>
      </c>
      <c r="P32" s="54" t="inlineStr">
        <is>
          <t>Professional dues &amp; memberships</t>
        </is>
      </c>
      <c r="Q32" s="54" t="inlineStr">
        <is>
          <t>Utilities for business space</t>
        </is>
      </c>
      <c r="R32" s="54" t="inlineStr">
        <is>
          <t>Professional dues &amp; memberships</t>
        </is>
      </c>
    </row>
    <row r="33">
      <c r="A33" s="15" t="inlineStr">
        <is>
          <t>Item 9</t>
        </is>
      </c>
      <c r="E33" s="54" t="inlineStr">
        <is>
          <t>Rent: office, booth, shop, storage, equipment</t>
        </is>
      </c>
      <c r="F33" s="54" t="inlineStr">
        <is>
          <t>Parking &amp; tolls</t>
        </is>
      </c>
      <c r="G33" s="54" t="inlineStr">
        <is>
          <t>Rent: office, booth, shop, storage, equipment</t>
        </is>
      </c>
      <c r="H33" s="54" t="inlineStr">
        <is>
          <t>Advertising &amp; marketing</t>
        </is>
      </c>
      <c r="I33" s="54" t="inlineStr">
        <is>
          <t>Advertising &amp; marketing</t>
        </is>
      </c>
      <c r="J33" s="54" t="inlineStr">
        <is>
          <t>Business insurance</t>
        </is>
      </c>
      <c r="L33" s="54" t="inlineStr">
        <is>
          <t>Business insurance</t>
        </is>
      </c>
      <c r="M33" s="54" t="inlineStr">
        <is>
          <t>Advertising &amp; marketing</t>
        </is>
      </c>
      <c r="N33" s="54" t="inlineStr">
        <is>
          <t>Advertising &amp; marketing</t>
        </is>
      </c>
      <c r="O33" s="54" t="inlineStr">
        <is>
          <t>Contract labor &amp; wages</t>
        </is>
      </c>
      <c r="P33" s="54" t="inlineStr">
        <is>
          <t>Phone &amp; internet</t>
        </is>
      </c>
      <c r="Q33" s="54" t="inlineStr">
        <is>
          <t>Equipment, tools &amp; furniture</t>
        </is>
      </c>
      <c r="R33" s="54" t="inlineStr">
        <is>
          <t>Advertising &amp; marketing</t>
        </is>
      </c>
    </row>
    <row r="34">
      <c r="A34" s="15" t="inlineStr">
        <is>
          <t>Item 10</t>
        </is>
      </c>
      <c r="E34" s="54" t="inlineStr">
        <is>
          <t>Parking &amp; tolls</t>
        </is>
      </c>
      <c r="F34" s="54" t="inlineStr">
        <is>
          <t>Business meal</t>
        </is>
      </c>
      <c r="G34" s="54" t="inlineStr">
        <is>
          <t>Professional, legal &amp; permit fees</t>
        </is>
      </c>
      <c r="H34" s="54" t="inlineStr">
        <is>
          <t>Professional, legal &amp; permit fees</t>
        </is>
      </c>
      <c r="I34" s="54" t="inlineStr">
        <is>
          <t>Business insurance</t>
        </is>
      </c>
      <c r="J34" s="54" t="inlineStr">
        <is>
          <t>Travel: lodging, airfare, rail, rental car</t>
        </is>
      </c>
      <c r="M34" s="54" t="inlineStr">
        <is>
          <t>Phone &amp; internet</t>
        </is>
      </c>
      <c r="R34" s="54" t="inlineStr">
        <is>
          <t>Professional, legal &amp; permit fees</t>
        </is>
      </c>
    </row>
    <row r="35">
      <c r="A35" s="15" t="inlineStr">
        <is>
          <t>Item 11</t>
        </is>
      </c>
      <c r="E35" s="54" t="inlineStr">
        <is>
          <t>Advertising &amp; marketing</t>
        </is>
      </c>
      <c r="F35" s="54" t="inlineStr">
        <is>
          <t>Phone &amp; internet</t>
        </is>
      </c>
    </row>
    <row r="36">
      <c r="A36" s="15" t="inlineStr">
        <is>
          <t>Item 12</t>
        </is>
      </c>
      <c r="E36" s="54" t="inlineStr">
        <is>
          <t>Phone &amp; internet</t>
        </is>
      </c>
    </row>
    <row r="38" ht="24" customHeight="1">
      <c r="A38" s="11" t="inlineStr">
        <is>
          <t>Usually not deductible — category</t>
        </is>
      </c>
      <c r="B38" s="12" t="n"/>
      <c r="C38" s="12" t="n"/>
      <c r="D38" s="12" t="n"/>
      <c r="E38" s="12" t="n"/>
      <c r="F38" s="12" t="n"/>
      <c r="G38" s="12" t="n"/>
      <c r="H38" s="12" t="n"/>
      <c r="I38" s="12" t="n"/>
      <c r="J38" s="12" t="n"/>
      <c r="K38" s="12" t="n"/>
      <c r="L38" s="12" t="n"/>
      <c r="M38" s="12" t="n"/>
      <c r="N38" s="12" t="n"/>
      <c r="O38" s="12" t="n"/>
      <c r="P38" s="12" t="n"/>
      <c r="Q38" s="12" t="n"/>
      <c r="R38" s="12" t="n"/>
    </row>
    <row r="39">
      <c r="A39" s="15" t="inlineStr">
        <is>
          <t>Watch-out 1</t>
        </is>
      </c>
      <c r="E39" s="54" t="inlineStr">
        <is>
          <t>Vehicle costs: gas, repairs, car insurance</t>
        </is>
      </c>
      <c r="F39" s="54" t="inlineStr">
        <is>
          <t>Commuting</t>
        </is>
      </c>
      <c r="G39" s="54" t="inlineStr">
        <is>
          <t>Entertainment</t>
        </is>
      </c>
      <c r="H39" s="54" t="inlineStr">
        <is>
          <t>Entertainment</t>
        </is>
      </c>
      <c r="I39" s="54" t="inlineStr">
        <is>
          <t>Fines, penalties &amp; tickets</t>
        </is>
      </c>
      <c r="J39" s="54" t="inlineStr">
        <is>
          <t>Personal or mixed, unsure</t>
        </is>
      </c>
      <c r="K39" s="54" t="inlineStr">
        <is>
          <t>Vehicle costs: gas, repairs, car insurance</t>
        </is>
      </c>
      <c r="L39" s="54" t="inlineStr">
        <is>
          <t>Clothing &amp; grooming</t>
        </is>
      </c>
      <c r="M39" s="54" t="inlineStr">
        <is>
          <t>Vehicle costs: gas, repairs, car insurance</t>
        </is>
      </c>
      <c r="N39" s="54" t="inlineStr">
        <is>
          <t>Home office</t>
        </is>
      </c>
      <c r="O39" s="54" t="inlineStr">
        <is>
          <t>Clothing &amp; grooming</t>
        </is>
      </c>
      <c r="P39" s="54" t="inlineStr">
        <is>
          <t>Clothing &amp; grooming</t>
        </is>
      </c>
      <c r="Q39" s="54" t="inlineStr">
        <is>
          <t>Equipment, tools &amp; furniture</t>
        </is>
      </c>
      <c r="R39" s="54" t="inlineStr">
        <is>
          <t>Entertainment</t>
        </is>
      </c>
    </row>
    <row r="40">
      <c r="A40" s="15" t="inlineStr">
        <is>
          <t>Watch-out 2</t>
        </is>
      </c>
      <c r="E40" s="54" t="inlineStr">
        <is>
          <t>Clothing &amp; grooming</t>
        </is>
      </c>
      <c r="F40" s="54" t="inlineStr">
        <is>
          <t>Clothing &amp; grooming</t>
        </is>
      </c>
      <c r="G40" s="54" t="inlineStr">
        <is>
          <t>Business meal</t>
        </is>
      </c>
      <c r="H40" s="54" t="inlineStr">
        <is>
          <t>Professional dues &amp; memberships</t>
        </is>
      </c>
      <c r="I40" s="54" t="inlineStr">
        <is>
          <t>Business meal</t>
        </is>
      </c>
      <c r="J40" s="54" t="inlineStr">
        <is>
          <t>Clothing &amp; grooming</t>
        </is>
      </c>
      <c r="K40" s="54" t="inlineStr">
        <is>
          <t>Commuting</t>
        </is>
      </c>
      <c r="L40" s="54" t="inlineStr">
        <is>
          <t>Personal or mixed, unsure</t>
        </is>
      </c>
      <c r="M40" s="54" t="inlineStr">
        <is>
          <t>Fines, penalties &amp; tickets</t>
        </is>
      </c>
      <c r="N40" s="54" t="inlineStr">
        <is>
          <t>Phone &amp; internet</t>
        </is>
      </c>
      <c r="O40" s="54" t="inlineStr">
        <is>
          <t>Personal or mixed, unsure</t>
        </is>
      </c>
      <c r="P40" s="54" t="inlineStr">
        <is>
          <t>Personal or mixed, unsure</t>
        </is>
      </c>
      <c r="Q40" s="54" t="inlineStr">
        <is>
          <t>Travel: lodging, airfare, rail, rental car</t>
        </is>
      </c>
      <c r="R40" s="54" t="inlineStr">
        <is>
          <t>Clothing &amp; grooming</t>
        </is>
      </c>
    </row>
    <row r="41">
      <c r="A41" s="15" t="inlineStr">
        <is>
          <t>Watch-out 3</t>
        </is>
      </c>
      <c r="E41" s="54" t="inlineStr">
        <is>
          <t>Fines, penalties &amp; tickets</t>
        </is>
      </c>
      <c r="F41" s="54" t="inlineStr">
        <is>
          <t>Entertainment</t>
        </is>
      </c>
      <c r="G41" s="54" t="inlineStr">
        <is>
          <t>Clothing &amp; grooming</t>
        </is>
      </c>
      <c r="H41" s="54" t="inlineStr">
        <is>
          <t>Clothing &amp; grooming</t>
        </is>
      </c>
      <c r="I41" s="54" t="inlineStr">
        <is>
          <t>Personal or mixed, unsure</t>
        </is>
      </c>
      <c r="J41" s="54" t="inlineStr">
        <is>
          <t>Commuting</t>
        </is>
      </c>
      <c r="K41" s="54" t="inlineStr">
        <is>
          <t>Business meal</t>
        </is>
      </c>
      <c r="L41" s="54" t="inlineStr">
        <is>
          <t>Entertainment</t>
        </is>
      </c>
      <c r="M41" s="54" t="inlineStr">
        <is>
          <t>Clothing &amp; grooming</t>
        </is>
      </c>
      <c r="N41" s="54" t="inlineStr">
        <is>
          <t>Personal or mixed, unsure</t>
        </is>
      </c>
      <c r="O41" s="54" t="inlineStr">
        <is>
          <t>Travel: lodging, airfare, rail, rental car</t>
        </is>
      </c>
      <c r="P41" s="54" t="inlineStr">
        <is>
          <t>Business meal</t>
        </is>
      </c>
      <c r="Q41" s="54" t="inlineStr">
        <is>
          <t>Personal or mixed, unsure</t>
        </is>
      </c>
      <c r="R41" s="54" t="inlineStr">
        <is>
          <t>Commuting</t>
        </is>
      </c>
    </row>
    <row r="43" ht="24" customHeight="1">
      <c r="A43" s="11" t="inlineStr">
        <is>
          <t>Usually not deductible — why</t>
        </is>
      </c>
      <c r="B43" s="12" t="n"/>
      <c r="C43" s="12" t="n"/>
      <c r="D43" s="12" t="n"/>
      <c r="E43" s="12" t="n"/>
      <c r="F43" s="12" t="n"/>
      <c r="G43" s="12" t="n"/>
      <c r="H43" s="12" t="n"/>
      <c r="I43" s="12" t="n"/>
      <c r="J43" s="12" t="n"/>
      <c r="K43" s="12" t="n"/>
      <c r="L43" s="12" t="n"/>
      <c r="M43" s="12" t="n"/>
      <c r="N43" s="12" t="n"/>
      <c r="O43" s="12" t="n"/>
      <c r="P43" s="12" t="n"/>
      <c r="Q43" s="12" t="n"/>
      <c r="R43" s="12" t="n"/>
    </row>
    <row r="44" ht="44" customHeight="1">
      <c r="A44" s="15" t="inlineStr">
        <is>
          <t>Watch-out 1</t>
        </is>
      </c>
      <c r="E44" s="9" t="inlineStr">
        <is>
          <t>You are on the standard mileage rate here, so truck gas, repairs and insurance are already counted. Do not log them separately.</t>
        </is>
      </c>
      <c r="F44" s="9" t="inlineStr">
        <is>
          <t>The first drive of the day from home to the office is commuting. Home straight to a showing usually is not.</t>
        </is>
      </c>
      <c r="G44" s="9" t="inlineStr">
        <is>
          <t>Outings for referral sources are entertainment, not marketing.</t>
        </is>
      </c>
      <c r="H44" s="9" t="inlineStr">
        <is>
          <t>Client entertainment is not deductible. The meal at the event can be, if billed separately.</t>
        </is>
      </c>
      <c r="I44" s="9" t="inlineStr">
        <is>
          <t>Health-code and parking fines are never deductible.</t>
        </is>
      </c>
      <c r="J44" s="9" t="inlineStr">
        <is>
          <t>Merchandise you keep for yourself comes out of the deduction. Note it.</t>
        </is>
      </c>
      <c r="K44" s="9" t="inlineStr">
        <is>
          <t>Gas, oil, repairs, car washes and car insurance are already inside the standard mileage rate. Log miles, not fuel.</t>
        </is>
      </c>
      <c r="L44" s="9" t="inlineStr">
        <is>
          <t>The all-black outfit the salon requires is still everyday clothing.</t>
        </is>
      </c>
      <c r="M44" s="9" t="inlineStr">
        <is>
          <t>Truck gas and repairs are inside the standard mileage rate. Fuel for mowers and machines is different: log it under Supplies.</t>
        </is>
      </c>
      <c r="N44" s="9" t="inlineStr">
        <is>
          <t>Exclusive use is the test. A desk in the living room does not qualify.</t>
        </is>
      </c>
      <c r="O44" s="9" t="inlineStr">
        <is>
          <t>Wardrobe for shoots is not deductible unless it is a costume unusable elsewhere.</t>
        </is>
      </c>
      <c r="P44" s="9" t="inlineStr">
        <is>
          <t>Athletic wear is everyday clothing, whatever the logo.</t>
        </is>
      </c>
      <c r="Q44" s="9" t="inlineStr">
        <is>
          <t>Improvements are depreciated over years, not deducted now. Describe the work so your CPA can tell a repair from an improvement.</t>
        </is>
      </c>
      <c r="R44" s="9" t="inlineStr">
        <is>
          <t>Entertainment is not deductible; the meal portion can be if billed separately.</t>
        </is>
      </c>
    </row>
    <row r="45" ht="44" customHeight="1">
      <c r="A45" s="15" t="inlineStr">
        <is>
          <t>Watch-out 2</t>
        </is>
      </c>
      <c r="E45" s="9" t="inlineStr">
        <is>
          <t>Jeans, flannels and ordinary boots are everyday wear. Steel-toe boots, hard hats and branded shirts do count.</t>
        </is>
      </c>
      <c r="F45" s="9" t="inlineStr">
        <is>
          <t>Business attire is not deductible, however expected in the field.</t>
        </is>
      </c>
      <c r="G45" s="9" t="inlineStr">
        <is>
          <t>Staff and vendor lunches are 50%, not 100%. The practice-wide holiday party is the exception.</t>
        </is>
      </c>
      <c r="H45" s="9" t="inlineStr">
        <is>
          <t>The club where you meet clients does not count, however useful. Professional societies do.</t>
        </is>
      </c>
      <c r="I45" s="9" t="inlineStr">
        <is>
          <t>Meals you provide to staff on premises have their own rules. Keep them separate from client meals.</t>
        </is>
      </c>
      <c r="J45" s="9" t="inlineStr">
        <is>
          <t>Wearing what you sell does not make it deductible.</t>
        </is>
      </c>
      <c r="K45" s="9" t="inlineStr">
        <is>
          <t>Miles count while the app is on and you are available or en route. Driving home with the app off is personal.</t>
        </is>
      </c>
      <c r="L45" s="9" t="inlineStr">
        <is>
          <t>Products you also use at home: only the business share.</t>
        </is>
      </c>
      <c r="M45" s="9" t="inlineStr">
        <is>
          <t>Tickets are never deductible.</t>
        </is>
      </c>
      <c r="N45" s="9" t="inlineStr">
        <is>
          <t>A shared personal phone is only partly deductible. A second line used only for work is 100%.</t>
        </is>
      </c>
      <c r="O45" s="9" t="inlineStr">
        <is>
          <t>Gear you also use on vacation: only the business share.</t>
        </is>
      </c>
      <c r="P45" s="9" t="inlineStr">
        <is>
          <t>Your own gym membership and supplements are personal.</t>
        </is>
      </c>
      <c r="Q45" s="9" t="inlineStr">
        <is>
          <t>Trips to look at property you do not own are not deductible.</t>
        </is>
      </c>
      <c r="R45" s="9" t="inlineStr">
        <is>
          <t>Ordinary clothing is never deductible, however required.</t>
        </is>
      </c>
    </row>
    <row r="46" ht="44" customHeight="1">
      <c r="A46" s="15" t="inlineStr">
        <is>
          <t>Watch-out 3</t>
        </is>
      </c>
      <c r="E46" s="9" t="inlineStr">
        <is>
          <t>Parking and traffic tickets on the job are never deductible.</t>
        </is>
      </c>
      <c r="F46" s="9" t="inlineStr">
        <is>
          <t>Taking a client to a game or a show is entertainment, not marketing.</t>
        </is>
      </c>
      <c r="G46" s="9" t="inlineStr">
        <is>
          <t>Ordinary work clothing under the white coat is not deductible.</t>
        </is>
      </c>
      <c r="H46" s="9" t="inlineStr">
        <is>
          <t>Suits are not deductible.</t>
        </is>
      </c>
      <c r="I46" s="9" t="inlineStr">
        <is>
          <t>Food taken home for the family comes out of cost of goods. Note it.</t>
        </is>
      </c>
      <c r="J46" s="9" t="inlineStr">
        <is>
          <t>Driving to your own store each day is commuting.</t>
        </is>
      </c>
      <c r="K46" s="9" t="inlineStr">
        <is>
          <t>Lunch between rides is personal. Meals count only on overnight trips away from home.</t>
        </is>
      </c>
      <c r="L46" s="9" t="inlineStr">
        <is>
          <t>Client outings are not deductible.</t>
        </is>
      </c>
      <c r="M46" s="9" t="inlineStr">
        <is>
          <t>Ordinary work clothes are not deductible; gloves and safety gear are.</t>
        </is>
      </c>
      <c r="N46" s="9" t="inlineStr">
        <is>
          <t>Gadgets with real personal use: only the business share.</t>
        </is>
      </c>
      <c r="O46" s="9" t="inlineStr">
        <is>
          <t>Trips with a personal component: only the business days and business costs.</t>
        </is>
      </c>
      <c r="P46" s="9" t="inlineStr">
        <is>
          <t>Meals with clients are 50% only when business is actually discussed.</t>
        </is>
      </c>
      <c r="Q46" s="9" t="inlineStr">
        <is>
          <t>Days you or family use the property reduce the deduction.</t>
        </is>
      </c>
      <c r="R46" s="9" t="inlineStr">
        <is>
          <t>Home to your regular workplace is personal.</t>
        </is>
      </c>
    </row>
    <row r="49" ht="24" customHeight="1">
      <c r="A49" s="11" t="inlineStr">
        <is>
          <t>Expense categories</t>
        </is>
      </c>
      <c r="B49" s="12" t="n"/>
      <c r="C49" s="12" t="n"/>
      <c r="D49" s="18" t="inlineStr">
        <is>
          <t>how each is usually treated</t>
        </is>
      </c>
    </row>
    <row r="50" ht="18" customHeight="1">
      <c r="A50" s="19" t="inlineStr">
        <is>
          <t>CATEGORY</t>
        </is>
      </c>
      <c r="B50" s="20" t="inlineStr">
        <is>
          <t>TREATMENT</t>
        </is>
      </c>
      <c r="C50" s="21" t="inlineStr">
        <is>
          <t>SHARE</t>
        </is>
      </c>
      <c r="D50" s="20" t="inlineStr">
        <is>
          <t>WHAT TO KNOW</t>
        </is>
      </c>
    </row>
    <row r="51" ht="15" customHeight="1">
      <c r="A51" s="56" t="inlineStr">
        <is>
          <t>Business meal</t>
        </is>
      </c>
      <c r="B51" s="39" t="inlineStr">
        <is>
          <t>Partly deductible</t>
        </is>
      </c>
      <c r="C51" s="57" t="n">
        <v>0.5</v>
      </c>
      <c r="D51" s="25" t="inlineStr">
        <is>
          <t>50% when business is discussed and you or an employee is present. Note who and what.</t>
        </is>
      </c>
    </row>
    <row r="52" ht="15" customHeight="1">
      <c r="A52" s="56" t="inlineStr">
        <is>
          <t>Entertainment</t>
        </is>
      </c>
      <c r="B52" s="39" t="inlineStr">
        <is>
          <t>Not deductible</t>
        </is>
      </c>
      <c r="C52" s="57" t="n">
        <v>0</v>
      </c>
      <c r="D52" s="25" t="inlineStr">
        <is>
          <t>Not deductible since 2018, even with clients: tickets, golf, shows.</t>
        </is>
      </c>
    </row>
    <row r="53" ht="15" customHeight="1">
      <c r="A53" s="56" t="inlineStr">
        <is>
          <t>Travel: lodging, airfare, rail, rental car</t>
        </is>
      </c>
      <c r="B53" s="39" t="inlineStr">
        <is>
          <t>Deductible</t>
        </is>
      </c>
      <c r="C53" s="57" t="n">
        <v>1</v>
      </c>
      <c r="D53" s="25" t="inlineStr">
        <is>
          <t>Overnight business travel away from your tax home. Meals on the trip go under Business meal.</t>
        </is>
      </c>
    </row>
    <row r="54" ht="28" customHeight="1">
      <c r="A54" s="56" t="inlineStr">
        <is>
          <t>Parking &amp; tolls</t>
        </is>
      </c>
      <c r="B54" s="39" t="inlineStr">
        <is>
          <t>Deductible</t>
        </is>
      </c>
      <c r="C54" s="57" t="n">
        <v>1</v>
      </c>
      <c r="D54" s="25" t="inlineStr">
        <is>
          <t>Deductible on top of the standard mileage rate. Parking at your regular workplace is commuting.</t>
        </is>
      </c>
    </row>
    <row r="55" ht="15" customHeight="1">
      <c r="A55" s="56" t="inlineStr">
        <is>
          <t>Supplies &amp; materials</t>
        </is>
      </c>
      <c r="B55" s="39" t="inlineStr">
        <is>
          <t>Deductible</t>
        </is>
      </c>
      <c r="C55" s="57" t="n">
        <v>1</v>
      </c>
      <c r="D55" s="25" t="inlineStr">
        <is>
          <t>Consumed in the work: materials, small items, office supplies, fuel for equipment.</t>
        </is>
      </c>
    </row>
    <row r="56" ht="28" customHeight="1">
      <c r="A56" s="56" t="inlineStr">
        <is>
          <t>Equipment, tools &amp; furniture</t>
        </is>
      </c>
      <c r="B56" s="39" t="inlineStr">
        <is>
          <t>For your CPA</t>
        </is>
      </c>
      <c r="C56" s="57" t="n">
        <v>0</v>
      </c>
      <c r="D56" s="25" t="inlineStr">
        <is>
          <t>Items under $2,500 each can usually be expensed under the de minimis safe harbor; larger items are depreciated or expensed under §179. Note the cost per item.</t>
        </is>
      </c>
    </row>
    <row r="57" ht="15" customHeight="1">
      <c r="A57" s="56" t="inlineStr">
        <is>
          <t>Software &amp; subscriptions</t>
        </is>
      </c>
      <c r="B57" s="39" t="inlineStr">
        <is>
          <t>Deductible</t>
        </is>
      </c>
      <c r="C57" s="57" t="n">
        <v>1</v>
      </c>
      <c r="D57" s="25" t="inlineStr">
        <is>
          <t>Business apps, cloud services, trade publications.</t>
        </is>
      </c>
    </row>
    <row r="58" ht="28" customHeight="1">
      <c r="A58" s="56" t="inlineStr">
        <is>
          <t>Phone &amp; internet</t>
        </is>
      </c>
      <c r="B58" s="39" t="inlineStr">
        <is>
          <t>For your CPA</t>
        </is>
      </c>
      <c r="C58" s="57" t="n">
        <v>0</v>
      </c>
      <c r="D58" s="25" t="inlineStr">
        <is>
          <t>Only the business-use share is deductible. Enter the full bill and note the percentage, or enter the business portion.</t>
        </is>
      </c>
    </row>
    <row r="59" ht="28" customHeight="1">
      <c r="A59" s="56" t="inlineStr">
        <is>
          <t>Home office</t>
        </is>
      </c>
      <c r="B59" s="39" t="inlineStr">
        <is>
          <t>For your CPA</t>
        </is>
      </c>
      <c r="C59" s="57" t="n">
        <v>0</v>
      </c>
      <c r="D59" s="25" t="inlineStr">
        <is>
          <t>Requires regular and exclusive business use of the space. Your CPA will compute it (simplified $5 per square foot or actual).</t>
        </is>
      </c>
    </row>
    <row r="60" ht="28" customHeight="1">
      <c r="A60" s="56" t="inlineStr">
        <is>
          <t>Utilities for business space</t>
        </is>
      </c>
      <c r="B60" s="39" t="inlineStr">
        <is>
          <t>Deductible</t>
        </is>
      </c>
      <c r="C60" s="57" t="n">
        <v>1</v>
      </c>
      <c r="D60" s="25" t="inlineStr">
        <is>
          <t>Electric, heat, water, trash for a shop, store, or office you rent or own. Home utilities belong under Home office.</t>
        </is>
      </c>
    </row>
    <row r="61" ht="28" customHeight="1">
      <c r="A61" s="56" t="inlineStr">
        <is>
          <t>Continuing education, licenses &amp; certifications</t>
        </is>
      </c>
      <c r="B61" s="39" t="inlineStr">
        <is>
          <t>Deductible</t>
        </is>
      </c>
      <c r="C61" s="57" t="n">
        <v>1</v>
      </c>
      <c r="D61" s="25" t="inlineStr">
        <is>
          <t>Maintains or improves skills in your current work. Education to qualify for a new trade is not deductible.</t>
        </is>
      </c>
    </row>
    <row r="62" ht="28" customHeight="1">
      <c r="A62" s="56" t="inlineStr">
        <is>
          <t>Professional dues &amp; memberships</t>
        </is>
      </c>
      <c r="B62" s="39" t="inlineStr">
        <is>
          <t>Deductible</t>
        </is>
      </c>
      <c r="C62" s="57" t="n">
        <v>1</v>
      </c>
      <c r="D62" s="25" t="inlineStr">
        <is>
          <t>Trade and professional organizations, unions, licensing boards. Country, athletic, and social club dues are not deductible.</t>
        </is>
      </c>
    </row>
    <row r="63" ht="15" customHeight="1">
      <c r="A63" s="56" t="inlineStr">
        <is>
          <t>Advertising &amp; marketing</t>
        </is>
      </c>
      <c r="B63" s="39" t="inlineStr">
        <is>
          <t>Deductible</t>
        </is>
      </c>
      <c r="C63" s="57" t="n">
        <v>1</v>
      </c>
      <c r="D63" s="25" t="inlineStr">
        <is>
          <t>Ads, website, signage, printing, sponsorships with a business purpose.</t>
        </is>
      </c>
    </row>
    <row r="64" ht="28" customHeight="1">
      <c r="A64" s="56" t="inlineStr">
        <is>
          <t>Business insurance</t>
        </is>
      </c>
      <c r="B64" s="39" t="inlineStr">
        <is>
          <t>Deductible</t>
        </is>
      </c>
      <c r="C64" s="57" t="n">
        <v>1</v>
      </c>
      <c r="D64" s="25" t="inlineStr">
        <is>
          <t>Liability, malpractice, property, tools, business auto. Health premiums are a separate deduction.</t>
        </is>
      </c>
    </row>
    <row r="65" ht="15" customHeight="1">
      <c r="A65" s="56" t="inlineStr">
        <is>
          <t>Professional, legal &amp; permit fees</t>
        </is>
      </c>
      <c r="B65" s="39" t="inlineStr">
        <is>
          <t>Deductible</t>
        </is>
      </c>
      <c r="C65" s="57" t="n">
        <v>1</v>
      </c>
      <c r="D65" s="25" t="inlineStr">
        <is>
          <t>Accountant, attorney, consultants, payroll service, permits, disposal fees.</t>
        </is>
      </c>
    </row>
    <row r="66" ht="15" customHeight="1">
      <c r="A66" s="56" t="inlineStr">
        <is>
          <t>Rent: office, booth, shop, storage, equipment</t>
        </is>
      </c>
      <c r="B66" s="39" t="inlineStr">
        <is>
          <t>Deductible</t>
        </is>
      </c>
      <c r="C66" s="57" t="n">
        <v>1</v>
      </c>
      <c r="D66" s="25" t="inlineStr">
        <is>
          <t>Rent paid for business space or equipment you do not own.</t>
        </is>
      </c>
    </row>
    <row r="67" ht="15" customHeight="1">
      <c r="A67" s="56" t="inlineStr">
        <is>
          <t>Contract labor &amp; wages</t>
        </is>
      </c>
      <c r="B67" s="39" t="inlineStr">
        <is>
          <t>Deductible</t>
        </is>
      </c>
      <c r="C67" s="57" t="n">
        <v>1</v>
      </c>
      <c r="D67" s="25" t="inlineStr">
        <is>
          <t>Form 1099-NEC is required for contractors paid $2,000 or more in 2026.</t>
        </is>
      </c>
    </row>
    <row r="68" ht="28" customHeight="1">
      <c r="A68" s="56" t="inlineStr">
        <is>
          <t>Inventory &amp; cost of goods</t>
        </is>
      </c>
      <c r="B68" s="39" t="inlineStr">
        <is>
          <t>For your CPA</t>
        </is>
      </c>
      <c r="C68" s="57" t="n">
        <v>0</v>
      </c>
      <c r="D68" s="25" t="inlineStr">
        <is>
          <t>Runs through cost of goods sold, not expenses, and depends on year-end inventory. Log it; your CPA will place it.</t>
        </is>
      </c>
    </row>
    <row r="69" ht="15" customHeight="1">
      <c r="A69" s="56" t="inlineStr">
        <is>
          <t>Shipping &amp; postage</t>
        </is>
      </c>
      <c r="B69" s="39" t="inlineStr">
        <is>
          <t>Deductible</t>
        </is>
      </c>
      <c r="C69" s="57" t="n">
        <v>1</v>
      </c>
      <c r="D69" s="25" t="inlineStr"/>
    </row>
    <row r="70" ht="15" customHeight="1">
      <c r="A70" s="56" t="inlineStr">
        <is>
          <t>Bank, card &amp; platform fees</t>
        </is>
      </c>
      <c r="B70" s="39" t="inlineStr">
        <is>
          <t>Deductible</t>
        </is>
      </c>
      <c r="C70" s="57" t="n">
        <v>1</v>
      </c>
      <c r="D70" s="25" t="inlineStr">
        <is>
          <t>Card processing, business account fees, marketplace and app commissions.</t>
        </is>
      </c>
    </row>
    <row r="71" ht="28" customHeight="1">
      <c r="A71" s="56" t="inlineStr">
        <is>
          <t>Uniforms &amp; protective gear</t>
        </is>
      </c>
      <c r="B71" s="39" t="inlineStr">
        <is>
          <t>Deductible</t>
        </is>
      </c>
      <c r="C71" s="57" t="n">
        <v>1</v>
      </c>
      <c r="D71" s="25" t="inlineStr">
        <is>
          <t>Only if not suitable for everyday wear: scrubs, steel-toe boots, branded uniforms, safety gear.</t>
        </is>
      </c>
    </row>
    <row r="72" ht="15" customHeight="1">
      <c r="A72" s="56" t="inlineStr">
        <is>
          <t>Business gifts</t>
        </is>
      </c>
      <c r="B72" s="39" t="inlineStr">
        <is>
          <t>Partly deductible</t>
        </is>
      </c>
      <c r="C72" s="57" t="n">
        <v>1</v>
      </c>
      <c r="D72" s="25" t="inlineStr">
        <is>
          <t>Limited to $25 per recipient per year. Log the recipient.</t>
        </is>
      </c>
    </row>
    <row r="73" ht="15" customHeight="1">
      <c r="A73" s="56" t="inlineStr">
        <is>
          <t>Health insurance premiums (self-employed)</t>
        </is>
      </c>
      <c r="B73" s="39" t="inlineStr">
        <is>
          <t>For your CPA</t>
        </is>
      </c>
      <c r="C73" s="57" t="n">
        <v>0</v>
      </c>
      <c r="D73" s="25" t="inlineStr">
        <is>
          <t>Deducted on the 1040, not the business schedule, if you qualify. Log it so it is not missed.</t>
        </is>
      </c>
    </row>
    <row r="74" ht="15" customHeight="1">
      <c r="A74" s="56" t="inlineStr">
        <is>
          <t>Clothing &amp; grooming</t>
        </is>
      </c>
      <c r="B74" s="39" t="inlineStr">
        <is>
          <t>Not deductible</t>
        </is>
      </c>
      <c r="C74" s="57" t="n">
        <v>0</v>
      </c>
      <c r="D74" s="25" t="inlineStr">
        <is>
          <t>Suits, dress shoes, haircuts, athletic wear: not deductible even if required for work.</t>
        </is>
      </c>
    </row>
    <row r="75" ht="15" customHeight="1">
      <c r="A75" s="56" t="inlineStr">
        <is>
          <t>Commuting</t>
        </is>
      </c>
      <c r="B75" s="39" t="inlineStr">
        <is>
          <t>Not deductible</t>
        </is>
      </c>
      <c r="C75" s="57" t="n">
        <v>0</v>
      </c>
      <c r="D75" s="25" t="inlineStr">
        <is>
          <t>Home to your regular workplace and back is personal, whatever you carry or discuss on the way.</t>
        </is>
      </c>
    </row>
    <row r="76" ht="28" customHeight="1">
      <c r="A76" s="56" t="inlineStr">
        <is>
          <t>Vehicle costs: gas, repairs, car insurance</t>
        </is>
      </c>
      <c r="B76" s="39" t="inlineStr">
        <is>
          <t>Not deductible</t>
        </is>
      </c>
      <c r="C76" s="57" t="n">
        <v>0</v>
      </c>
      <c r="D76" s="25" t="inlineStr">
        <is>
          <t>Already inside the standard mileage rate you are using for trips. Do not deduct both. Parking and tolls are separate.</t>
        </is>
      </c>
    </row>
    <row r="77" ht="15" customHeight="1">
      <c r="A77" s="56" t="inlineStr">
        <is>
          <t>Fines, penalties &amp; tickets</t>
        </is>
      </c>
      <c r="B77" s="39" t="inlineStr">
        <is>
          <t>Not deductible</t>
        </is>
      </c>
      <c r="C77" s="57" t="n">
        <v>0</v>
      </c>
      <c r="D77" s="25" t="inlineStr">
        <is>
          <t>Never deductible.</t>
        </is>
      </c>
    </row>
    <row r="78" ht="15" customHeight="1">
      <c r="A78" s="56" t="inlineStr">
        <is>
          <t>Personal or mixed, unsure</t>
        </is>
      </c>
      <c r="B78" s="39" t="inlineStr">
        <is>
          <t>For your CPA</t>
        </is>
      </c>
      <c r="C78" s="57" t="n">
        <v>0</v>
      </c>
      <c r="D78" s="25" t="inlineStr">
        <is>
          <t>Log it and let your CPA sort it. Better recorded than forgotten.</t>
        </is>
      </c>
    </row>
    <row r="81" ht="24" customHeight="1">
      <c r="A81" s="11" t="inlineStr">
        <is>
          <t>IRS standard mileage rates</t>
        </is>
      </c>
      <c r="B81" s="12" t="n"/>
      <c r="C81" s="12" t="n"/>
      <c r="D81" s="18" t="inlineStr">
        <is>
          <t>dollars per mile, by effective date</t>
        </is>
      </c>
    </row>
    <row r="82" ht="18" customHeight="1">
      <c r="A82" s="19" t="inlineStr">
        <is>
          <t>EFFECTIVE FROM</t>
        </is>
      </c>
      <c r="B82" s="21" t="inlineStr">
        <is>
          <t>BUSINESS</t>
        </is>
      </c>
      <c r="C82" s="21" t="inlineStr">
        <is>
          <t>CHARITY</t>
        </is>
      </c>
      <c r="D82" s="21" t="inlineStr">
        <is>
          <t>MEDICAL</t>
        </is>
      </c>
    </row>
    <row r="83">
      <c r="A83" s="22" t="n">
        <v>45292</v>
      </c>
      <c r="B83" s="23" t="n">
        <v>0.67</v>
      </c>
      <c r="C83" s="23" t="n">
        <v>0.14</v>
      </c>
      <c r="D83" s="23" t="n">
        <v>0.21</v>
      </c>
    </row>
    <row r="84">
      <c r="A84" s="22" t="n">
        <v>45658</v>
      </c>
      <c r="B84" s="23" t="n">
        <v>0.7</v>
      </c>
      <c r="C84" s="23" t="n">
        <v>0.14</v>
      </c>
      <c r="D84" s="23" t="n">
        <v>0.21</v>
      </c>
    </row>
    <row r="85">
      <c r="A85" s="22" t="n">
        <v>46023</v>
      </c>
      <c r="B85" s="23" t="n">
        <v>0.725</v>
      </c>
      <c r="C85" s="23" t="n">
        <v>0.14</v>
      </c>
      <c r="D85" s="23" t="n">
        <v>0.205</v>
      </c>
    </row>
    <row r="86">
      <c r="A86" s="22" t="n">
        <v>46204</v>
      </c>
      <c r="B86" s="23" t="n">
        <v>0.76</v>
      </c>
      <c r="C86" s="23" t="n">
        <v>0.14</v>
      </c>
      <c r="D86" s="23" t="n">
        <v>0.235</v>
      </c>
    </row>
    <row r="87">
      <c r="A87" s="15" t="inlineStr">
        <is>
          <t>Source: IRS Notice 2026-10; IRB 2026-29 raised the business and medical rates from July 1, 2026. Verify each January.</t>
        </is>
      </c>
    </row>
    <row r="88">
      <c r="A88" s="53" t="inlineStr">
        <is>
          <t>LINES OF WORK (dropdown source)</t>
        </is>
      </c>
    </row>
    <row r="89">
      <c r="A89" s="54" t="inlineStr">
        <is>
          <t>Carpenter, contractor, electrician, plumber or other trade</t>
        </is>
      </c>
    </row>
    <row r="90">
      <c r="A90" s="54" t="inlineStr">
        <is>
          <t>Real estate agent or broker</t>
        </is>
      </c>
    </row>
    <row r="91">
      <c r="A91" s="54" t="inlineStr">
        <is>
          <t>Doctor, dentist or other health practice</t>
        </is>
      </c>
    </row>
    <row r="92">
      <c r="A92" s="54" t="inlineStr">
        <is>
          <t>Attorney, consultant, accountant or other professional</t>
        </is>
      </c>
    </row>
    <row r="93">
      <c r="A93" s="54" t="inlineStr">
        <is>
          <t>Restaurant, caterer or food service</t>
        </is>
      </c>
    </row>
    <row r="94">
      <c r="A94" s="54" t="inlineStr">
        <is>
          <t>Retail shop or online seller</t>
        </is>
      </c>
    </row>
    <row r="95">
      <c r="A95" s="54" t="inlineStr">
        <is>
          <t>Rideshare, delivery or trucking</t>
        </is>
      </c>
    </row>
    <row r="96">
      <c r="A96" s="54" t="inlineStr">
        <is>
          <t>Salon, barber, spa or personal care</t>
        </is>
      </c>
    </row>
    <row r="97">
      <c r="A97" s="54" t="inlineStr">
        <is>
          <t>Landscaper, cleaner, painter or other home service</t>
        </is>
      </c>
    </row>
    <row r="98">
      <c r="A98" s="54" t="inlineStr">
        <is>
          <t>IT, software developer or online business</t>
        </is>
      </c>
    </row>
    <row r="99">
      <c r="A99" s="54" t="inlineStr">
        <is>
          <t>Photographer, designer, writer or other creative</t>
        </is>
      </c>
    </row>
    <row r="100">
      <c r="A100" s="54" t="inlineStr">
        <is>
          <t>Trainer, coach, instructor or wellness</t>
        </is>
      </c>
    </row>
    <row r="101">
      <c r="A101" s="54" t="inlineStr">
        <is>
          <t>Rental property owner</t>
        </is>
      </c>
    </row>
    <row r="102">
      <c r="A102" s="54" t="inlineStr">
        <is>
          <t>Other / general business</t>
        </is>
      </c>
    </row>
  </sheetData>
  <pageMargins left="0.5" right="0.5" top="0.6" bottom="0.6" header="0.5" footer="0.5"/>
  <pageSetup orientation="portrait" fitToHeight="0" fitToWidth="1"/>
  <headerFooter>
    <oddHeader/>
    <oddFooter>&amp;L&amp;8 Grott Luker &amp; Co. · Mileage &amp; Expense Log 2026&amp;R&amp;8 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Grott Luker &amp; Co.</dc:creator>
  <dc:title>Mileage &amp; Expense Log 2026</dc:title>
  <dcterms:created xsi:type="dcterms:W3CDTF">2026-10-02T01:36:14Z</dcterms:created>
  <dcterms:modified xsi:type="dcterms:W3CDTF">2026-10-02T01:36:15Z</dcterms:modified>
</cp:coreProperties>
</file>